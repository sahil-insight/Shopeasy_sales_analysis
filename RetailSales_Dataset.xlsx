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ra\Desktop\excel project\files\"/>
    </mc:Choice>
  </mc:AlternateContent>
  <xr:revisionPtr revIDLastSave="0" documentId="13_ncr:1_{9FEAAF37-5993-46C2-A034-7CC7DBC888F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 Data" sheetId="1" r:id="rId1"/>
    <sheet name="Analysis" sheetId="3" r:id="rId2"/>
    <sheet name="Dashboard" sheetId="4" r:id="rId3"/>
    <sheet name="Story" sheetId="5" r:id="rId4"/>
  </sheets>
  <definedNames>
    <definedName name="_xlnm._FilterDatabase" localSheetId="0" hidden="1">'Sales Data'!$A$1:$Q$501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A11" i="3"/>
  <c r="B6" i="3" l="1"/>
  <c r="B7" i="3"/>
</calcChain>
</file>

<file path=xl/sharedStrings.xml><?xml version="1.0" encoding="utf-8"?>
<sst xmlns="http://schemas.openxmlformats.org/spreadsheetml/2006/main" count="6093" uniqueCount="982">
  <si>
    <t>Order ID</t>
  </si>
  <si>
    <t>Order Date</t>
  </si>
  <si>
    <t>Month</t>
  </si>
  <si>
    <t>Year</t>
  </si>
  <si>
    <t>Customer Name</t>
  </si>
  <si>
    <t>Customer Segment</t>
  </si>
  <si>
    <t>Region</t>
  </si>
  <si>
    <t>State</t>
  </si>
  <si>
    <t>Product Category</t>
  </si>
  <si>
    <t>Product Name</t>
  </si>
  <si>
    <t>Quantity</t>
  </si>
  <si>
    <t>Unit Price (₹)</t>
  </si>
  <si>
    <t>Discount (%)</t>
  </si>
  <si>
    <t>Total Sales (₹)</t>
  </si>
  <si>
    <t>Profit (₹)</t>
  </si>
  <si>
    <t>Sales Channel</t>
  </si>
  <si>
    <t>Returns</t>
  </si>
  <si>
    <t>ORD-0001</t>
  </si>
  <si>
    <t>2024-12-12</t>
  </si>
  <si>
    <t>December</t>
  </si>
  <si>
    <t>2024</t>
  </si>
  <si>
    <t>Customer_055</t>
  </si>
  <si>
    <t>Corporate</t>
  </si>
  <si>
    <t>North</t>
  </si>
  <si>
    <t>Delhi</t>
  </si>
  <si>
    <t>Furniture</t>
  </si>
  <si>
    <t>Study Table</t>
  </si>
  <si>
    <t>Online</t>
  </si>
  <si>
    <t>No</t>
  </si>
  <si>
    <t>ORD-0002</t>
  </si>
  <si>
    <t>2024-11-28</t>
  </si>
  <si>
    <t>November</t>
  </si>
  <si>
    <t>Customer_058</t>
  </si>
  <si>
    <t>Retail</t>
  </si>
  <si>
    <t>Punjab</t>
  </si>
  <si>
    <t>Clothing</t>
  </si>
  <si>
    <t>Jacket</t>
  </si>
  <si>
    <t>Offline</t>
  </si>
  <si>
    <t>ORD-0003</t>
  </si>
  <si>
    <t>2024-06-21</t>
  </si>
  <si>
    <t>June</t>
  </si>
  <si>
    <t>Customer_049</t>
  </si>
  <si>
    <t>Groceries</t>
  </si>
  <si>
    <t>Oil Can</t>
  </si>
  <si>
    <t>ORD-0004</t>
  </si>
  <si>
    <t>2024-07-12</t>
  </si>
  <si>
    <t>July</t>
  </si>
  <si>
    <t>Customer_038</t>
  </si>
  <si>
    <t>East</t>
  </si>
  <si>
    <t>Bihar</t>
  </si>
  <si>
    <t>Electronics</t>
  </si>
  <si>
    <t>Smart TV</t>
  </si>
  <si>
    <t>ORD-0005</t>
  </si>
  <si>
    <t>2024-04-29</t>
  </si>
  <si>
    <t>April</t>
  </si>
  <si>
    <t>Customer_036</t>
  </si>
  <si>
    <t>Wholesale</t>
  </si>
  <si>
    <t>Odisha</t>
  </si>
  <si>
    <t>Smartphone</t>
  </si>
  <si>
    <t>ORD-0006</t>
  </si>
  <si>
    <t>2024-12-15</t>
  </si>
  <si>
    <t>Customer_082</t>
  </si>
  <si>
    <t>Bookshelf</t>
  </si>
  <si>
    <t>ORD-0007</t>
  </si>
  <si>
    <t>2024-06-15</t>
  </si>
  <si>
    <t>Customer_005</t>
  </si>
  <si>
    <t>South</t>
  </si>
  <si>
    <t>Karnataka</t>
  </si>
  <si>
    <t>Spices Kit</t>
  </si>
  <si>
    <t>ORD-0008</t>
  </si>
  <si>
    <t>2024-09-12</t>
  </si>
  <si>
    <t>September</t>
  </si>
  <si>
    <t>Customer_059</t>
  </si>
  <si>
    <t>West</t>
  </si>
  <si>
    <t>Rajasthan</t>
  </si>
  <si>
    <t>Laptop</t>
  </si>
  <si>
    <t>ORD-0009</t>
  </si>
  <si>
    <t>2024-10-25</t>
  </si>
  <si>
    <t>October</t>
  </si>
  <si>
    <t>Customer_029</t>
  </si>
  <si>
    <t>Sports</t>
  </si>
  <si>
    <t>Badminton Set</t>
  </si>
  <si>
    <t>Yes</t>
  </si>
  <si>
    <t>ORD-0010</t>
  </si>
  <si>
    <t>2024-12-14</t>
  </si>
  <si>
    <t>Customer_009</t>
  </si>
  <si>
    <t>Andhra Pradesh</t>
  </si>
  <si>
    <t>ORD-0011</t>
  </si>
  <si>
    <t>2024-11-24</t>
  </si>
  <si>
    <t>Cricket Bat</t>
  </si>
  <si>
    <t>ORD-0012</t>
  </si>
  <si>
    <t>2024-11-16</t>
  </si>
  <si>
    <t>Customer_065</t>
  </si>
  <si>
    <t>Maharashtra</t>
  </si>
  <si>
    <t>Bed Frame</t>
  </si>
  <si>
    <t>ORD-0013</t>
  </si>
  <si>
    <t>2024-09-07</t>
  </si>
  <si>
    <t>Customer_047</t>
  </si>
  <si>
    <t>Kerala</t>
  </si>
  <si>
    <t>ORD-0014</t>
  </si>
  <si>
    <t>2024-09-05</t>
  </si>
  <si>
    <t>Customer_099</t>
  </si>
  <si>
    <t>ORD-0015</t>
  </si>
  <si>
    <t>2024-10-03</t>
  </si>
  <si>
    <t>Customer_040</t>
  </si>
  <si>
    <t>Gujarat</t>
  </si>
  <si>
    <t>ORD-0016</t>
  </si>
  <si>
    <t>2024-06-22</t>
  </si>
  <si>
    <t>Customer_071</t>
  </si>
  <si>
    <t>Jharkhand</t>
  </si>
  <si>
    <t>Dumbbells</t>
  </si>
  <si>
    <t>ORD-0017</t>
  </si>
  <si>
    <t>2024-06-18</t>
  </si>
  <si>
    <t>Customer_031</t>
  </si>
  <si>
    <t>Tamil Nadu</t>
  </si>
  <si>
    <t>ORD-0018</t>
  </si>
  <si>
    <t>2024-08-30</t>
  </si>
  <si>
    <t>August</t>
  </si>
  <si>
    <t>Customer_013</t>
  </si>
  <si>
    <t>Football</t>
  </si>
  <si>
    <t>ORD-0019</t>
  </si>
  <si>
    <t>2024-11-26</t>
  </si>
  <si>
    <t>Customer_052</t>
  </si>
  <si>
    <t>ORD-0020</t>
  </si>
  <si>
    <t>2024-04-03</t>
  </si>
  <si>
    <t>Customer_032</t>
  </si>
  <si>
    <t>Jeans</t>
  </si>
  <si>
    <t>ORD-0021</t>
  </si>
  <si>
    <t>2024-02-17</t>
  </si>
  <si>
    <t>February</t>
  </si>
  <si>
    <t>Customer_053</t>
  </si>
  <si>
    <t>Uttar Pradesh</t>
  </si>
  <si>
    <t>ORD-0022</t>
  </si>
  <si>
    <t>2024-05-15</t>
  </si>
  <si>
    <t>May</t>
  </si>
  <si>
    <t>ORD-0023</t>
  </si>
  <si>
    <t>2024-10-04</t>
  </si>
  <si>
    <t>Customer_041</t>
  </si>
  <si>
    <t>Kurta</t>
  </si>
  <si>
    <t>ORD-0024</t>
  </si>
  <si>
    <t>2024-02-04</t>
  </si>
  <si>
    <t>Customer_016</t>
  </si>
  <si>
    <t>Tablet</t>
  </si>
  <si>
    <t>ORD-0025</t>
  </si>
  <si>
    <t>2024-06-10</t>
  </si>
  <si>
    <t>Customer_086</t>
  </si>
  <si>
    <t>ORD-0026</t>
  </si>
  <si>
    <t>2024-02-07</t>
  </si>
  <si>
    <t>Customer_080</t>
  </si>
  <si>
    <t>Dal Pack</t>
  </si>
  <si>
    <t>ORD-0027</t>
  </si>
  <si>
    <t>2024-06-27</t>
  </si>
  <si>
    <t>Customer_048</t>
  </si>
  <si>
    <t>ORD-0028</t>
  </si>
  <si>
    <t>2024-12-05</t>
  </si>
  <si>
    <t>Customer_034</t>
  </si>
  <si>
    <t>ORD-0029</t>
  </si>
  <si>
    <t>2024-04-14</t>
  </si>
  <si>
    <t>Customer_063</t>
  </si>
  <si>
    <t>ORD-0030</t>
  </si>
  <si>
    <t>2024-03-07</t>
  </si>
  <si>
    <t>March</t>
  </si>
  <si>
    <t>Customer_095</t>
  </si>
  <si>
    <t>ORD-0031</t>
  </si>
  <si>
    <t>2024-07-08</t>
  </si>
  <si>
    <t>Customer_017</t>
  </si>
  <si>
    <t>ORD-0032</t>
  </si>
  <si>
    <t>2024-10-13</t>
  </si>
  <si>
    <t>Customer_096</t>
  </si>
  <si>
    <t>West Bengal</t>
  </si>
  <si>
    <t>ORD-0033</t>
  </si>
  <si>
    <t>2024-06-19</t>
  </si>
  <si>
    <t>Saree</t>
  </si>
  <si>
    <t>ORD-0034</t>
  </si>
  <si>
    <t>2024-08-23</t>
  </si>
  <si>
    <t>Customer_030</t>
  </si>
  <si>
    <t>ORD-0035</t>
  </si>
  <si>
    <t>2024-09-17</t>
  </si>
  <si>
    <t>Customer_069</t>
  </si>
  <si>
    <t>ORD-0036</t>
  </si>
  <si>
    <t>2024-11-01</t>
  </si>
  <si>
    <t>Customer_094</t>
  </si>
  <si>
    <t>ORD-0037</t>
  </si>
  <si>
    <t>2024-08-11</t>
  </si>
  <si>
    <t>Flour Pack</t>
  </si>
  <si>
    <t>ORD-0038</t>
  </si>
  <si>
    <t>2024-03-04</t>
  </si>
  <si>
    <t>Rice (5kg)</t>
  </si>
  <si>
    <t>ORD-0039</t>
  </si>
  <si>
    <t>2024-07-13</t>
  </si>
  <si>
    <t>Customer_073</t>
  </si>
  <si>
    <t>ORD-0040</t>
  </si>
  <si>
    <t>2024-06-13</t>
  </si>
  <si>
    <t>Customer_057</t>
  </si>
  <si>
    <t>Haryana</t>
  </si>
  <si>
    <t>ORD-0041</t>
  </si>
  <si>
    <t>2024-04-30</t>
  </si>
  <si>
    <t>Customer_026</t>
  </si>
  <si>
    <t>Headphones</t>
  </si>
  <si>
    <t>ORD-0042</t>
  </si>
  <si>
    <t>2024-11-18</t>
  </si>
  <si>
    <t>Customer_090</t>
  </si>
  <si>
    <t>ORD-0043</t>
  </si>
  <si>
    <t>2024-12-22</t>
  </si>
  <si>
    <t>Customer_072</t>
  </si>
  <si>
    <t>T-Shirt</t>
  </si>
  <si>
    <t>ORD-0044</t>
  </si>
  <si>
    <t>2024-08-14</t>
  </si>
  <si>
    <t>ORD-0045</t>
  </si>
  <si>
    <t>2024-05-02</t>
  </si>
  <si>
    <t>Customer_010</t>
  </si>
  <si>
    <t>Goa</t>
  </si>
  <si>
    <t>ORD-0046</t>
  </si>
  <si>
    <t>2024-04-28</t>
  </si>
  <si>
    <t>Customer_020</t>
  </si>
  <si>
    <t>ORD-0047</t>
  </si>
  <si>
    <t>2024-04-15</t>
  </si>
  <si>
    <t>ORD-0048</t>
  </si>
  <si>
    <t>2024-08-02</t>
  </si>
  <si>
    <t>ORD-0049</t>
  </si>
  <si>
    <t>2024-03-06</t>
  </si>
  <si>
    <t>Customer_076</t>
  </si>
  <si>
    <t>ORD-0050</t>
  </si>
  <si>
    <t>ORD-0051</t>
  </si>
  <si>
    <t>ORD-0052</t>
  </si>
  <si>
    <t>2024-03-05</t>
  </si>
  <si>
    <t>Customer_015</t>
  </si>
  <si>
    <t>ORD-0053</t>
  </si>
  <si>
    <t>2024-02-28</t>
  </si>
  <si>
    <t>Customer_014</t>
  </si>
  <si>
    <t>ORD-0054</t>
  </si>
  <si>
    <t>2024-11-17</t>
  </si>
  <si>
    <t>ORD-0055</t>
  </si>
  <si>
    <t>2024-11-27</t>
  </si>
  <si>
    <t>Customer_054</t>
  </si>
  <si>
    <t>ORD-0056</t>
  </si>
  <si>
    <t>2024-09-24</t>
  </si>
  <si>
    <t>Sofa</t>
  </si>
  <si>
    <t>ORD-0057</t>
  </si>
  <si>
    <t>2024-02-14</t>
  </si>
  <si>
    <t>Yoga Mat</t>
  </si>
  <si>
    <t>ORD-0058</t>
  </si>
  <si>
    <t>2024-06-30</t>
  </si>
  <si>
    <t>ORD-0059</t>
  </si>
  <si>
    <t>Customer_061</t>
  </si>
  <si>
    <t>ORD-0060</t>
  </si>
  <si>
    <t>2024-05-04</t>
  </si>
  <si>
    <t>Customer_075</t>
  </si>
  <si>
    <t>ORD-0061</t>
  </si>
  <si>
    <t>2024-05-08</t>
  </si>
  <si>
    <t>Customer_093</t>
  </si>
  <si>
    <t>ORD-0062</t>
  </si>
  <si>
    <t>2024-09-25</t>
  </si>
  <si>
    <t>Customer_025</t>
  </si>
  <si>
    <t>ORD-0063</t>
  </si>
  <si>
    <t>2024-01-28</t>
  </si>
  <si>
    <t>January</t>
  </si>
  <si>
    <t>Office Chair</t>
  </si>
  <si>
    <t>ORD-0064</t>
  </si>
  <si>
    <t>2024-06-23</t>
  </si>
  <si>
    <t>Customer_033</t>
  </si>
  <si>
    <t>ORD-0065</t>
  </si>
  <si>
    <t>2024-12-17</t>
  </si>
  <si>
    <t>ORD-0066</t>
  </si>
  <si>
    <t>2024-11-12</t>
  </si>
  <si>
    <t>ORD-0067</t>
  </si>
  <si>
    <t>2024-11-08</t>
  </si>
  <si>
    <t>Customer_081</t>
  </si>
  <si>
    <t>ORD-0068</t>
  </si>
  <si>
    <t>2024-07-28</t>
  </si>
  <si>
    <t>Customer_077</t>
  </si>
  <si>
    <t>ORD-0069</t>
  </si>
  <si>
    <t>ORD-0070</t>
  </si>
  <si>
    <t>2024-10-31</t>
  </si>
  <si>
    <t>ORD-0071</t>
  </si>
  <si>
    <t>2024-11-02</t>
  </si>
  <si>
    <t>ORD-0072</t>
  </si>
  <si>
    <t>2024-12-10</t>
  </si>
  <si>
    <t>Customer_006</t>
  </si>
  <si>
    <t>ORD-0073</t>
  </si>
  <si>
    <t>ORD-0074</t>
  </si>
  <si>
    <t>2024-05-27</t>
  </si>
  <si>
    <t>ORD-0075</t>
  </si>
  <si>
    <t>2024-01-01</t>
  </si>
  <si>
    <t>Customer_007</t>
  </si>
  <si>
    <t>ORD-0076</t>
  </si>
  <si>
    <t>ORD-0077</t>
  </si>
  <si>
    <t>2024-04-25</t>
  </si>
  <si>
    <t>ORD-0078</t>
  </si>
  <si>
    <t>2024-08-29</t>
  </si>
  <si>
    <t>ORD-0079</t>
  </si>
  <si>
    <t>2024-09-16</t>
  </si>
  <si>
    <t>Customer_037</t>
  </si>
  <si>
    <t>ORD-0080</t>
  </si>
  <si>
    <t>2024-10-05</t>
  </si>
  <si>
    <t>Customer_042</t>
  </si>
  <si>
    <t>ORD-0081</t>
  </si>
  <si>
    <t>2024-12-27</t>
  </si>
  <si>
    <t>Customer_085</t>
  </si>
  <si>
    <t>ORD-0082</t>
  </si>
  <si>
    <t>2024-02-21</t>
  </si>
  <si>
    <t>Customer_068</t>
  </si>
  <si>
    <t>ORD-0083</t>
  </si>
  <si>
    <t>Customer_089</t>
  </si>
  <si>
    <t>ORD-0084</t>
  </si>
  <si>
    <t>2024-01-19</t>
  </si>
  <si>
    <t>ORD-0085</t>
  </si>
  <si>
    <t>2024-12-21</t>
  </si>
  <si>
    <t>ORD-0086</t>
  </si>
  <si>
    <t>2024-07-29</t>
  </si>
  <si>
    <t>Customer_023</t>
  </si>
  <si>
    <t>ORD-0087</t>
  </si>
  <si>
    <t>2024-05-10</t>
  </si>
  <si>
    <t>ORD-0088</t>
  </si>
  <si>
    <t>2024-10-27</t>
  </si>
  <si>
    <t>ORD-0089</t>
  </si>
  <si>
    <t>2024-10-19</t>
  </si>
  <si>
    <t>ORD-0090</t>
  </si>
  <si>
    <t>2024-01-26</t>
  </si>
  <si>
    <t>Customer_100</t>
  </si>
  <si>
    <t>ORD-0091</t>
  </si>
  <si>
    <t>ORD-0092</t>
  </si>
  <si>
    <t>2024-03-08</t>
  </si>
  <si>
    <t>ORD-0093</t>
  </si>
  <si>
    <t>2024-02-08</t>
  </si>
  <si>
    <t>Customer_087</t>
  </si>
  <si>
    <t>ORD-0094</t>
  </si>
  <si>
    <t>2024-08-20</t>
  </si>
  <si>
    <t>ORD-0095</t>
  </si>
  <si>
    <t>2024-10-14</t>
  </si>
  <si>
    <t>ORD-0096</t>
  </si>
  <si>
    <t>2024-06-04</t>
  </si>
  <si>
    <t>ORD-0097</t>
  </si>
  <si>
    <t>2024-03-20</t>
  </si>
  <si>
    <t>ORD-0098</t>
  </si>
  <si>
    <t>Customer_088</t>
  </si>
  <si>
    <t>ORD-0099</t>
  </si>
  <si>
    <t>Customer_028</t>
  </si>
  <si>
    <t>ORD-0100</t>
  </si>
  <si>
    <t>2024-10-10</t>
  </si>
  <si>
    <t>ORD-0101</t>
  </si>
  <si>
    <t>2024-03-15</t>
  </si>
  <si>
    <t>ORD-0102</t>
  </si>
  <si>
    <t>2024-01-09</t>
  </si>
  <si>
    <t>ORD-0103</t>
  </si>
  <si>
    <t>2024-02-25</t>
  </si>
  <si>
    <t>ORD-0104</t>
  </si>
  <si>
    <t>2024-08-06</t>
  </si>
  <si>
    <t>Customer_092</t>
  </si>
  <si>
    <t>ORD-0105</t>
  </si>
  <si>
    <t>2024-11-15</t>
  </si>
  <si>
    <t>ORD-0106</t>
  </si>
  <si>
    <t>2024-04-26</t>
  </si>
  <si>
    <t>ORD-0107</t>
  </si>
  <si>
    <t>Customer_012</t>
  </si>
  <si>
    <t>ORD-0108</t>
  </si>
  <si>
    <t>ORD-0109</t>
  </si>
  <si>
    <t>ORD-0110</t>
  </si>
  <si>
    <t>2024-08-07</t>
  </si>
  <si>
    <t>ORD-0111</t>
  </si>
  <si>
    <t>2024-04-02</t>
  </si>
  <si>
    <t>ORD-0112</t>
  </si>
  <si>
    <t>ORD-0113</t>
  </si>
  <si>
    <t>2024-05-19</t>
  </si>
  <si>
    <t>ORD-0114</t>
  </si>
  <si>
    <t>2024-02-26</t>
  </si>
  <si>
    <t>ORD-0115</t>
  </si>
  <si>
    <t>2024-06-03</t>
  </si>
  <si>
    <t>Customer_098</t>
  </si>
  <si>
    <t>ORD-0116</t>
  </si>
  <si>
    <t>2024-09-29</t>
  </si>
  <si>
    <t>ORD-0117</t>
  </si>
  <si>
    <t>2024-02-09</t>
  </si>
  <si>
    <t>ORD-0118</t>
  </si>
  <si>
    <t>ORD-0119</t>
  </si>
  <si>
    <t>2024-06-07</t>
  </si>
  <si>
    <t>Customer_043</t>
  </si>
  <si>
    <t>ORD-0120</t>
  </si>
  <si>
    <t>ORD-0121</t>
  </si>
  <si>
    <t>Customer_097</t>
  </si>
  <si>
    <t>ORD-0122</t>
  </si>
  <si>
    <t>2024-11-19</t>
  </si>
  <si>
    <t>ORD-0123</t>
  </si>
  <si>
    <t>2024-05-26</t>
  </si>
  <si>
    <t>ORD-0124</t>
  </si>
  <si>
    <t>Customer_078</t>
  </si>
  <si>
    <t>ORD-0125</t>
  </si>
  <si>
    <t>2024-03-29</t>
  </si>
  <si>
    <t>Customer_091</t>
  </si>
  <si>
    <t>ORD-0126</t>
  </si>
  <si>
    <t>Customer_083</t>
  </si>
  <si>
    <t>ORD-0127</t>
  </si>
  <si>
    <t>2024-12-02</t>
  </si>
  <si>
    <t>Customer_011</t>
  </si>
  <si>
    <t>ORD-0128</t>
  </si>
  <si>
    <t>2024-02-13</t>
  </si>
  <si>
    <t>ORD-0129</t>
  </si>
  <si>
    <t>2024-07-04</t>
  </si>
  <si>
    <t>ORD-0130</t>
  </si>
  <si>
    <t>Customer_044</t>
  </si>
  <si>
    <t>ORD-0131</t>
  </si>
  <si>
    <t>2024-03-25</t>
  </si>
  <si>
    <t>ORD-0132</t>
  </si>
  <si>
    <t>ORD-0133</t>
  </si>
  <si>
    <t>2024-03-23</t>
  </si>
  <si>
    <t>Customer_018</t>
  </si>
  <si>
    <t>ORD-0134</t>
  </si>
  <si>
    <t>2024-05-25</t>
  </si>
  <si>
    <t>Customer_035</t>
  </si>
  <si>
    <t>ORD-0135</t>
  </si>
  <si>
    <t>2024-07-31</t>
  </si>
  <si>
    <t>ORD-0136</t>
  </si>
  <si>
    <t>ORD-0137</t>
  </si>
  <si>
    <t>2024-01-10</t>
  </si>
  <si>
    <t>ORD-0138</t>
  </si>
  <si>
    <t>ORD-0139</t>
  </si>
  <si>
    <t>Customer_074</t>
  </si>
  <si>
    <t>ORD-0140</t>
  </si>
  <si>
    <t>ORD-0141</t>
  </si>
  <si>
    <t>ORD-0142</t>
  </si>
  <si>
    <t>2024-12-16</t>
  </si>
  <si>
    <t>Customer_062</t>
  </si>
  <si>
    <t>ORD-0143</t>
  </si>
  <si>
    <t>2024-04-12</t>
  </si>
  <si>
    <t>ORD-0144</t>
  </si>
  <si>
    <t>2024-01-25</t>
  </si>
  <si>
    <t>ORD-0145</t>
  </si>
  <si>
    <t>2024-09-11</t>
  </si>
  <si>
    <t>ORD-0146</t>
  </si>
  <si>
    <t>2024-02-22</t>
  </si>
  <si>
    <t>ORD-0147</t>
  </si>
  <si>
    <t>2024-06-29</t>
  </si>
  <si>
    <t>ORD-0148</t>
  </si>
  <si>
    <t>2024-03-14</t>
  </si>
  <si>
    <t>ORD-0149</t>
  </si>
  <si>
    <t>2024-08-18</t>
  </si>
  <si>
    <t>ORD-0150</t>
  </si>
  <si>
    <t>2024-01-14</t>
  </si>
  <si>
    <t>Customer_067</t>
  </si>
  <si>
    <t>ORD-0151</t>
  </si>
  <si>
    <t>2024-09-08</t>
  </si>
  <si>
    <t>ORD-0152</t>
  </si>
  <si>
    <t>2024-10-08</t>
  </si>
  <si>
    <t>Customer_021</t>
  </si>
  <si>
    <t>ORD-0153</t>
  </si>
  <si>
    <t>2024-05-01</t>
  </si>
  <si>
    <t>ORD-0154</t>
  </si>
  <si>
    <t>2024-07-22</t>
  </si>
  <si>
    <t>ORD-0155</t>
  </si>
  <si>
    <t>2024-06-25</t>
  </si>
  <si>
    <t>ORD-0156</t>
  </si>
  <si>
    <t>ORD-0157</t>
  </si>
  <si>
    <t>ORD-0158</t>
  </si>
  <si>
    <t>2024-01-15</t>
  </si>
  <si>
    <t>ORD-0159</t>
  </si>
  <si>
    <t>Customer_039</t>
  </si>
  <si>
    <t>ORD-0160</t>
  </si>
  <si>
    <t>2024-09-04</t>
  </si>
  <si>
    <t>ORD-0161</t>
  </si>
  <si>
    <t>2024-02-24</t>
  </si>
  <si>
    <t>Customer_060</t>
  </si>
  <si>
    <t>ORD-0162</t>
  </si>
  <si>
    <t>2024-11-11</t>
  </si>
  <si>
    <t>ORD-0163</t>
  </si>
  <si>
    <t>2024-06-06</t>
  </si>
  <si>
    <t>ORD-0164</t>
  </si>
  <si>
    <t>2024-09-10</t>
  </si>
  <si>
    <t>ORD-0165</t>
  </si>
  <si>
    <t>2024-07-24</t>
  </si>
  <si>
    <t>ORD-0166</t>
  </si>
  <si>
    <t>ORD-0167</t>
  </si>
  <si>
    <t>2024-01-21</t>
  </si>
  <si>
    <t>ORD-0168</t>
  </si>
  <si>
    <t>2024-11-09</t>
  </si>
  <si>
    <t>Customer_051</t>
  </si>
  <si>
    <t>ORD-0169</t>
  </si>
  <si>
    <t>2024-06-02</t>
  </si>
  <si>
    <t>ORD-0170</t>
  </si>
  <si>
    <t>2024-12-01</t>
  </si>
  <si>
    <t>ORD-0171</t>
  </si>
  <si>
    <t>ORD-0172</t>
  </si>
  <si>
    <t>2024-02-01</t>
  </si>
  <si>
    <t>Customer_027</t>
  </si>
  <si>
    <t>ORD-0173</t>
  </si>
  <si>
    <t>ORD-0174</t>
  </si>
  <si>
    <t>2024-12-26</t>
  </si>
  <si>
    <t>ORD-0175</t>
  </si>
  <si>
    <t>Customer_045</t>
  </si>
  <si>
    <t>ORD-0176</t>
  </si>
  <si>
    <t>ORD-0177</t>
  </si>
  <si>
    <t>ORD-0178</t>
  </si>
  <si>
    <t>2024-03-21</t>
  </si>
  <si>
    <t>ORD-0179</t>
  </si>
  <si>
    <t>ORD-0180</t>
  </si>
  <si>
    <t>2024-01-05</t>
  </si>
  <si>
    <t>ORD-0181</t>
  </si>
  <si>
    <t>2024-03-09</t>
  </si>
  <si>
    <t>ORD-0182</t>
  </si>
  <si>
    <t>2024-05-31</t>
  </si>
  <si>
    <t>Customer_079</t>
  </si>
  <si>
    <t>ORD-0183</t>
  </si>
  <si>
    <t>2024-04-04</t>
  </si>
  <si>
    <t>ORD-0184</t>
  </si>
  <si>
    <t>Customer_084</t>
  </si>
  <si>
    <t>ORD-0185</t>
  </si>
  <si>
    <t>2024-09-14</t>
  </si>
  <si>
    <t>ORD-0186</t>
  </si>
  <si>
    <t>ORD-0187</t>
  </si>
  <si>
    <t>ORD-0188</t>
  </si>
  <si>
    <t>Customer_066</t>
  </si>
  <si>
    <t>ORD-0189</t>
  </si>
  <si>
    <t>ORD-0190</t>
  </si>
  <si>
    <t>Customer_008</t>
  </si>
  <si>
    <t>ORD-0191</t>
  </si>
  <si>
    <t>ORD-0192</t>
  </si>
  <si>
    <t>2024-10-02</t>
  </si>
  <si>
    <t>ORD-0193</t>
  </si>
  <si>
    <t>ORD-0194</t>
  </si>
  <si>
    <t>ORD-0195</t>
  </si>
  <si>
    <t>ORD-0196</t>
  </si>
  <si>
    <t>Customer_019</t>
  </si>
  <si>
    <t>ORD-0197</t>
  </si>
  <si>
    <t>2024-03-30</t>
  </si>
  <si>
    <t>Customer_064</t>
  </si>
  <si>
    <t>ORD-0198</t>
  </si>
  <si>
    <t>2024-07-11</t>
  </si>
  <si>
    <t>ORD-0199</t>
  </si>
  <si>
    <t>2024-08-01</t>
  </si>
  <si>
    <t>ORD-0200</t>
  </si>
  <si>
    <t>2024-04-07</t>
  </si>
  <si>
    <t>ORD-0201</t>
  </si>
  <si>
    <t>ORD-0202</t>
  </si>
  <si>
    <t>2024-10-09</t>
  </si>
  <si>
    <t>ORD-0203</t>
  </si>
  <si>
    <t>2024-08-28</t>
  </si>
  <si>
    <t>ORD-0204</t>
  </si>
  <si>
    <t>2024-10-23</t>
  </si>
  <si>
    <t>ORD-0205</t>
  </si>
  <si>
    <t>ORD-0206</t>
  </si>
  <si>
    <t>ORD-0207</t>
  </si>
  <si>
    <t>ORD-0208</t>
  </si>
  <si>
    <t>ORD-0209</t>
  </si>
  <si>
    <t>2024-12-11</t>
  </si>
  <si>
    <t>ORD-0210</t>
  </si>
  <si>
    <t>2024-05-16</t>
  </si>
  <si>
    <t>ORD-0211</t>
  </si>
  <si>
    <t>ORD-0212</t>
  </si>
  <si>
    <t>2024-02-18</t>
  </si>
  <si>
    <t>ORD-0213</t>
  </si>
  <si>
    <t>2024-01-17</t>
  </si>
  <si>
    <t>Customer_003</t>
  </si>
  <si>
    <t>ORD-0214</t>
  </si>
  <si>
    <t>2024-07-18</t>
  </si>
  <si>
    <t>ORD-0215</t>
  </si>
  <si>
    <t>Customer_004</t>
  </si>
  <si>
    <t>ORD-0216</t>
  </si>
  <si>
    <t>ORD-0217</t>
  </si>
  <si>
    <t>2024-11-20</t>
  </si>
  <si>
    <t>Customer_050</t>
  </si>
  <si>
    <t>ORD-0218</t>
  </si>
  <si>
    <t>Customer_024</t>
  </si>
  <si>
    <t>ORD-0219</t>
  </si>
  <si>
    <t>Customer_002</t>
  </si>
  <si>
    <t>ORD-0220</t>
  </si>
  <si>
    <t>ORD-0221</t>
  </si>
  <si>
    <t>ORD-0222</t>
  </si>
  <si>
    <t>2024-07-21</t>
  </si>
  <si>
    <t>ORD-0223</t>
  </si>
  <si>
    <t>2024-11-04</t>
  </si>
  <si>
    <t>ORD-0224</t>
  </si>
  <si>
    <t>2024-05-23</t>
  </si>
  <si>
    <t>ORD-0225</t>
  </si>
  <si>
    <t>2024-05-29</t>
  </si>
  <si>
    <t>ORD-0226</t>
  </si>
  <si>
    <t>ORD-0227</t>
  </si>
  <si>
    <t>2024-05-07</t>
  </si>
  <si>
    <t>ORD-0228</t>
  </si>
  <si>
    <t>2024-09-18</t>
  </si>
  <si>
    <t>ORD-0229</t>
  </si>
  <si>
    <t>ORD-0230</t>
  </si>
  <si>
    <t>2024-08-12</t>
  </si>
  <si>
    <t>ORD-0231</t>
  </si>
  <si>
    <t>ORD-0232</t>
  </si>
  <si>
    <t>2024-11-10</t>
  </si>
  <si>
    <t>ORD-0233</t>
  </si>
  <si>
    <t>2024-10-01</t>
  </si>
  <si>
    <t>ORD-0234</t>
  </si>
  <si>
    <t>2024-07-19</t>
  </si>
  <si>
    <t>Customer_046</t>
  </si>
  <si>
    <t>ORD-0235</t>
  </si>
  <si>
    <t>ORD-0236</t>
  </si>
  <si>
    <t>2024-04-05</t>
  </si>
  <si>
    <t>ORD-0237</t>
  </si>
  <si>
    <t>ORD-0238</t>
  </si>
  <si>
    <t>Customer_022</t>
  </si>
  <si>
    <t>ORD-0239</t>
  </si>
  <si>
    <t>2024-03-27</t>
  </si>
  <si>
    <t>ORD-0240</t>
  </si>
  <si>
    <t>2024-07-06</t>
  </si>
  <si>
    <t>ORD-0241</t>
  </si>
  <si>
    <t>ORD-0242</t>
  </si>
  <si>
    <t>ORD-0243</t>
  </si>
  <si>
    <t>2024-09-20</t>
  </si>
  <si>
    <t>ORD-0244</t>
  </si>
  <si>
    <t>2024-05-06</t>
  </si>
  <si>
    <t>ORD-0245</t>
  </si>
  <si>
    <t>2024-05-22</t>
  </si>
  <si>
    <t>ORD-0246</t>
  </si>
  <si>
    <t>ORD-0247</t>
  </si>
  <si>
    <t>2024-06-24</t>
  </si>
  <si>
    <t>ORD-0248</t>
  </si>
  <si>
    <t>ORD-0249</t>
  </si>
  <si>
    <t>2024-12-06</t>
  </si>
  <si>
    <t>ORD-0250</t>
  </si>
  <si>
    <t>ORD-0251</t>
  </si>
  <si>
    <t>2024-07-15</t>
  </si>
  <si>
    <t>ORD-0252</t>
  </si>
  <si>
    <t>2024-10-15</t>
  </si>
  <si>
    <t>ORD-0253</t>
  </si>
  <si>
    <t>ORD-0254</t>
  </si>
  <si>
    <t>ORD-0255</t>
  </si>
  <si>
    <t>ORD-0256</t>
  </si>
  <si>
    <t>2024-02-06</t>
  </si>
  <si>
    <t>ORD-0257</t>
  </si>
  <si>
    <t>ORD-0258</t>
  </si>
  <si>
    <t>ORD-0259</t>
  </si>
  <si>
    <t>ORD-0260</t>
  </si>
  <si>
    <t>2024-08-10</t>
  </si>
  <si>
    <t>ORD-0261</t>
  </si>
  <si>
    <t>2024-06-26</t>
  </si>
  <si>
    <t>ORD-0262</t>
  </si>
  <si>
    <t>2024-05-14</t>
  </si>
  <si>
    <t>ORD-0263</t>
  </si>
  <si>
    <t>ORD-0264</t>
  </si>
  <si>
    <t>2024-03-17</t>
  </si>
  <si>
    <t>ORD-0265</t>
  </si>
  <si>
    <t>ORD-0266</t>
  </si>
  <si>
    <t>2024-08-26</t>
  </si>
  <si>
    <t>ORD-0267</t>
  </si>
  <si>
    <t>2024-11-14</t>
  </si>
  <si>
    <t>ORD-0268</t>
  </si>
  <si>
    <t>2024-01-13</t>
  </si>
  <si>
    <t>ORD-0269</t>
  </si>
  <si>
    <t>ORD-0270</t>
  </si>
  <si>
    <t>2024-07-09</t>
  </si>
  <si>
    <t>ORD-0271</t>
  </si>
  <si>
    <t>ORD-0272</t>
  </si>
  <si>
    <t>2024-04-13</t>
  </si>
  <si>
    <t>ORD-0273</t>
  </si>
  <si>
    <t>2024-04-16</t>
  </si>
  <si>
    <t>ORD-0274</t>
  </si>
  <si>
    <t>2024-06-16</t>
  </si>
  <si>
    <t>ORD-0275</t>
  </si>
  <si>
    <t>ORD-0276</t>
  </si>
  <si>
    <t>2024-04-23</t>
  </si>
  <si>
    <t>ORD-0277</t>
  </si>
  <si>
    <t>2024-08-15</t>
  </si>
  <si>
    <t>ORD-0278</t>
  </si>
  <si>
    <t>2024-07-14</t>
  </si>
  <si>
    <t>ORD-0279</t>
  </si>
  <si>
    <t>ORD-0280</t>
  </si>
  <si>
    <t>2024-11-25</t>
  </si>
  <si>
    <t>Customer_070</t>
  </si>
  <si>
    <t>ORD-0281</t>
  </si>
  <si>
    <t>ORD-0282</t>
  </si>
  <si>
    <t>2024-10-26</t>
  </si>
  <si>
    <t>ORD-0283</t>
  </si>
  <si>
    <t>2024-07-17</t>
  </si>
  <si>
    <t>ORD-0284</t>
  </si>
  <si>
    <t>ORD-0285</t>
  </si>
  <si>
    <t>2024-09-26</t>
  </si>
  <si>
    <t>ORD-0286</t>
  </si>
  <si>
    <t>ORD-0287</t>
  </si>
  <si>
    <t>2024-03-10</t>
  </si>
  <si>
    <t>Customer_056</t>
  </si>
  <si>
    <t>ORD-0288</t>
  </si>
  <si>
    <t>2024-10-28</t>
  </si>
  <si>
    <t>ORD-0289</t>
  </si>
  <si>
    <t>2024-10-17</t>
  </si>
  <si>
    <t>ORD-0290</t>
  </si>
  <si>
    <t>2024-06-12</t>
  </si>
  <si>
    <t>ORD-0291</t>
  </si>
  <si>
    <t>2024-06-28</t>
  </si>
  <si>
    <t>ORD-0292</t>
  </si>
  <si>
    <t>ORD-0293</t>
  </si>
  <si>
    <t>2024-05-13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</si>
  <si>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</si>
  <si>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</si>
  <si>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</si>
  <si>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</si>
  <si>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</si>
  <si>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</si>
  <si>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</si>
  <si>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</si>
  <si>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2024-01-18</t>
  </si>
  <si>
    <t>ORD-0302</t>
  </si>
  <si>
    <t>ORD-0303</t>
  </si>
  <si>
    <t>ORD-0304</t>
  </si>
  <si>
    <t>ORD-0305</t>
  </si>
  <si>
    <t>ORD-0306</t>
  </si>
  <si>
    <t>2024-05-17</t>
  </si>
  <si>
    <t>ORD-0307</t>
  </si>
  <si>
    <t>ORD-0308</t>
  </si>
  <si>
    <t>2024-07-10</t>
  </si>
  <si>
    <t>ORD-0309</t>
  </si>
  <si>
    <t>ORD-0310</t>
  </si>
  <si>
    <t>ORD-0311</t>
  </si>
  <si>
    <t>2024-05-12</t>
  </si>
  <si>
    <t>ORD-0312</t>
  </si>
  <si>
    <t>2024-09-19</t>
  </si>
  <si>
    <t>ORD-0313</t>
  </si>
  <si>
    <t>2024-06-05</t>
  </si>
  <si>
    <t>ORD-0314</t>
  </si>
  <si>
    <t>ORD-0315</t>
  </si>
  <si>
    <t>2024-05-21</t>
  </si>
  <si>
    <t>ORD-0316</t>
  </si>
  <si>
    <t>2024-11-03</t>
  </si>
  <si>
    <t>ORD-0317</t>
  </si>
  <si>
    <t>ORD-0318</t>
  </si>
  <si>
    <t>2024-02-19</t>
  </si>
  <si>
    <t>ORD-0319</t>
  </si>
  <si>
    <t>ORD-0320</t>
  </si>
  <si>
    <t>2024-11-13</t>
  </si>
  <si>
    <t>ORD-0321</t>
  </si>
  <si>
    <t>ORD-0322</t>
  </si>
  <si>
    <t>2024-01-03</t>
  </si>
  <si>
    <t>ORD-0323</t>
  </si>
  <si>
    <t>ORD-0324</t>
  </si>
  <si>
    <t>ORD-0325</t>
  </si>
  <si>
    <t>2024-03-26</t>
  </si>
  <si>
    <t>ORD-0326</t>
  </si>
  <si>
    <t>2024-04-06</t>
  </si>
  <si>
    <t>ORD-0327</t>
  </si>
  <si>
    <t>2024-12-30</t>
  </si>
  <si>
    <t>ORD-0328</t>
  </si>
  <si>
    <t>ORD-0329</t>
  </si>
  <si>
    <t>2024-05-18</t>
  </si>
  <si>
    <t>ORD-0330</t>
  </si>
  <si>
    <t>ORD-0331</t>
  </si>
  <si>
    <t>2024-01-02</t>
  </si>
  <si>
    <t>ORD-0332</t>
  </si>
  <si>
    <t>ORD-0333</t>
  </si>
  <si>
    <t>2024-06-09</t>
  </si>
  <si>
    <t>ORD-0334</t>
  </si>
  <si>
    <t>ORD-0335</t>
  </si>
  <si>
    <t>2024-07-16</t>
  </si>
  <si>
    <t>ORD-0336</t>
  </si>
  <si>
    <t>2024-10-29</t>
  </si>
  <si>
    <t>ORD-0337</t>
  </si>
  <si>
    <t>2024-02-27</t>
  </si>
  <si>
    <t>ORD-0338</t>
  </si>
  <si>
    <t>2024-12-08</t>
  </si>
  <si>
    <t>ORD-0339</t>
  </si>
  <si>
    <t>2024-10-12</t>
  </si>
  <si>
    <t>ORD-0340</t>
  </si>
  <si>
    <t>ORD-0341</t>
  </si>
  <si>
    <t>2024-08-17</t>
  </si>
  <si>
    <t>ORD-0342</t>
  </si>
  <si>
    <t>ORD-0343</t>
  </si>
  <si>
    <t>ORD-0344</t>
  </si>
  <si>
    <t>ORD-0345</t>
  </si>
  <si>
    <t>ORD-0346</t>
  </si>
  <si>
    <t>2024-01-24</t>
  </si>
  <si>
    <t>ORD-0347</t>
  </si>
  <si>
    <t>ORD-0348</t>
  </si>
  <si>
    <t>ORD-0349</t>
  </si>
  <si>
    <t>2024-03-11</t>
  </si>
  <si>
    <t>ORD-0350</t>
  </si>
  <si>
    <t>2024-05-28</t>
  </si>
  <si>
    <t>ORD-0351</t>
  </si>
  <si>
    <t>2024-12-07</t>
  </si>
  <si>
    <t>ORD-0352</t>
  </si>
  <si>
    <t>ORD-0353</t>
  </si>
  <si>
    <t>ORD-0354</t>
  </si>
  <si>
    <t>ORD-0355</t>
  </si>
  <si>
    <t>ORD-0356</t>
  </si>
  <si>
    <t>ORD-0357</t>
  </si>
  <si>
    <t>2024-12-29</t>
  </si>
  <si>
    <t>ORD-0358</t>
  </si>
  <si>
    <t>2024-12-28</t>
  </si>
  <si>
    <t>ORD-0359</t>
  </si>
  <si>
    <t>ORD-0360</t>
  </si>
  <si>
    <t>ORD-0361</t>
  </si>
  <si>
    <t>ORD-0362</t>
  </si>
  <si>
    <t>2024-02-12</t>
  </si>
  <si>
    <t>ORD-0363</t>
  </si>
  <si>
    <t>2024-12-25</t>
  </si>
  <si>
    <t>ORD-0364</t>
  </si>
  <si>
    <t>2024-04-01</t>
  </si>
  <si>
    <t>ORD-0365</t>
  </si>
  <si>
    <t>ORD-0366</t>
  </si>
  <si>
    <t>ORD-0367</t>
  </si>
  <si>
    <t>ORD-0368</t>
  </si>
  <si>
    <t>2024-01-22</t>
  </si>
  <si>
    <t>ORD-0369</t>
  </si>
  <si>
    <t>ORD-0370</t>
  </si>
  <si>
    <t>ORD-0371</t>
  </si>
  <si>
    <t>2024-07-01</t>
  </si>
  <si>
    <t>ORD-0372</t>
  </si>
  <si>
    <t>2024-12-03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</si>
  <si>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</si>
  <si>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</si>
  <si>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</si>
  <si>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</si>
  <si>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</si>
  <si>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</si>
  <si>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</si>
  <si>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</si>
  <si>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2024-06-14</t>
  </si>
  <si>
    <t>ORD-0381</t>
  </si>
  <si>
    <t>ORD-0382</t>
  </si>
  <si>
    <t>ORD-0383</t>
  </si>
  <si>
    <t>2024-04-18</t>
  </si>
  <si>
    <t>ORD-0384</t>
  </si>
  <si>
    <t>2024-09-02</t>
  </si>
  <si>
    <t>ORD-0385</t>
  </si>
  <si>
    <t>ORD-0386</t>
  </si>
  <si>
    <t>2024-12-04</t>
  </si>
  <si>
    <t>ORD-0387</t>
  </si>
  <si>
    <t>ORD-0388</t>
  </si>
  <si>
    <t>ORD-0389</t>
  </si>
  <si>
    <t>ORD-0390</t>
  </si>
  <si>
    <t>2024-12-13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</si>
  <si>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</si>
  <si>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</si>
  <si>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</si>
  <si>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</si>
  <si>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</si>
  <si>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</si>
  <si>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</si>
  <si>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</si>
  <si>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</si>
  <si>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</si>
  <si>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2024-07-26</t>
  </si>
  <si>
    <t>ORD-0401</t>
  </si>
  <si>
    <t>ORD-0402</t>
  </si>
  <si>
    <t>ORD-0403</t>
  </si>
  <si>
    <t>ORD-0404</t>
  </si>
  <si>
    <t>2024-04-22</t>
  </si>
  <si>
    <t>ORD-0405</t>
  </si>
  <si>
    <t>ORD-0406</t>
  </si>
  <si>
    <t>ORD-0407</t>
  </si>
  <si>
    <t>ORD-0408</t>
  </si>
  <si>
    <t>2024-09-09</t>
  </si>
  <si>
    <t>ORD-0409</t>
  </si>
  <si>
    <t>2024-08-04</t>
  </si>
  <si>
    <t>ORD-0410</t>
  </si>
  <si>
    <t>ORD-0411</t>
  </si>
  <si>
    <t>ORD-0412</t>
  </si>
  <si>
    <t>ORD-0413</t>
  </si>
  <si>
    <t>2024-04-10</t>
  </si>
  <si>
    <t>ORD-0414</t>
  </si>
  <si>
    <t>ORD-0415</t>
  </si>
  <si>
    <t>2024-08-31</t>
  </si>
  <si>
    <t>ORD-0416</t>
  </si>
  <si>
    <t>2024-03-03</t>
  </si>
  <si>
    <t>ORD-0417</t>
  </si>
  <si>
    <t>2024-08-16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</si>
  <si>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</si>
  <si>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</si>
  <si>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</si>
  <si>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</si>
  <si>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</si>
  <si>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</si>
  <si>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</si>
  <si>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</si>
  <si>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</si>
  <si>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</si>
  <si>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2024-09-21</t>
  </si>
  <si>
    <t>ORD-0428</t>
  </si>
  <si>
    <t>2024-11-22</t>
  </si>
  <si>
    <t>ORD-0429</t>
  </si>
  <si>
    <t>2024-01-12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</si>
  <si>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</si>
  <si>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</si>
  <si>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</si>
  <si>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</si>
  <si>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</si>
  <si>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</si>
  <si>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</si>
  <si>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</si>
  <si>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</si>
  <si>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2024-08-27</t>
  </si>
  <si>
    <t>ORD-0439</t>
  </si>
  <si>
    <t>ORD-0440</t>
  </si>
  <si>
    <t>ORD-0441</t>
  </si>
  <si>
    <t>2024-01-23</t>
  </si>
  <si>
    <t>ORD-0442</t>
  </si>
  <si>
    <t>ORD-0443</t>
  </si>
  <si>
    <t>ORD-0444</t>
  </si>
  <si>
    <t>ORD-0445</t>
  </si>
  <si>
    <t>ORD-0446</t>
  </si>
  <si>
    <t>ORD-0447</t>
  </si>
  <si>
    <t>2024-07-30</t>
  </si>
  <si>
    <t>ORD-0448</t>
  </si>
  <si>
    <t>ORD-0449</t>
  </si>
  <si>
    <t>ORD-0450</t>
  </si>
  <si>
    <t>ORD-0451</t>
  </si>
  <si>
    <t>ORD-0452</t>
  </si>
  <si>
    <t>2024-06-20</t>
  </si>
  <si>
    <t>ORD-0453</t>
  </si>
  <si>
    <t>ORD-0454</t>
  </si>
  <si>
    <t>2024-02-16</t>
  </si>
  <si>
    <t>ORD-0455</t>
  </si>
  <si>
    <t>2024-10-07</t>
  </si>
  <si>
    <t>ORD-0456</t>
  </si>
  <si>
    <t>2024-11-29</t>
  </si>
  <si>
    <t>ORD-0457</t>
  </si>
  <si>
    <t>2024-10-21</t>
  </si>
  <si>
    <t>ORD-0458</t>
  </si>
  <si>
    <t>ORD-0459</t>
  </si>
  <si>
    <t>ORD-0460</t>
  </si>
  <si>
    <t>ORD-0461</t>
  </si>
  <si>
    <t>ORD-0462</t>
  </si>
  <si>
    <t>ORD-0463</t>
  </si>
  <si>
    <t>ORD-0464</t>
  </si>
  <si>
    <t>2024-09-13</t>
  </si>
  <si>
    <t>ORD-0465</t>
  </si>
  <si>
    <t>ORD-0466</t>
  </si>
  <si>
    <t>ORD-0467</t>
  </si>
  <si>
    <t>2024-03-19</t>
  </si>
  <si>
    <t>ORD-0468</t>
  </si>
  <si>
    <t>ORD-0469</t>
  </si>
  <si>
    <t>ORD-0470</t>
  </si>
  <si>
    <t>ORD-0471</t>
  </si>
  <si>
    <t>2024-11-05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</si>
  <si>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</si>
  <si>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</si>
  <si>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</si>
  <si>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</si>
  <si>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</si>
  <si>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</si>
  <si>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</si>
  <si>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</si>
  <si>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</si>
  <si>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</si>
  <si>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</si>
  <si>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2024-05-05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</si>
  <si>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</si>
  <si>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</si>
  <si>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</si>
  <si>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</si>
  <si>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</si>
  <si>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</si>
  <si>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</si>
  <si>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</si>
  <si>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2024-01-04</t>
  </si>
  <si>
    <t>ORD-0491</t>
  </si>
  <si>
    <t>ORD-0492</t>
  </si>
  <si>
    <t>ORD-0493</t>
  </si>
  <si>
    <t>ORD-0494</t>
  </si>
  <si>
    <t>ORD-0495</t>
  </si>
  <si>
    <t>ORD-0496</t>
  </si>
  <si>
    <t>2024-02-20</t>
  </si>
  <si>
    <t>ORD-0497</t>
  </si>
  <si>
    <t>ORD-0498</t>
  </si>
  <si>
    <t>ORD-0499</t>
  </si>
  <si>
    <t>ORD-0500</t>
  </si>
  <si>
    <t>2024-06-08</t>
  </si>
  <si>
    <t>KPI Summary</t>
  </si>
  <si>
    <t>Total Sales</t>
  </si>
  <si>
    <t>Total Profit</t>
  </si>
  <si>
    <t>Total Order</t>
  </si>
  <si>
    <t>Avg Order Value</t>
  </si>
  <si>
    <t>Return Rate %</t>
  </si>
  <si>
    <t>Row Labels</t>
  </si>
  <si>
    <t>Grand Total</t>
  </si>
  <si>
    <t>Sum of Total Sales (₹)</t>
  </si>
  <si>
    <t>Sum of Profit (₹)</t>
  </si>
  <si>
    <t>Profit And Margin Column</t>
  </si>
  <si>
    <t>Category Performance - Which category is profitable</t>
  </si>
  <si>
    <t>Regional  Sales Analysis (Pivot Table)</t>
  </si>
  <si>
    <t>Monthly Sales Trend -Which Month Performed Best</t>
  </si>
  <si>
    <t>Online And Offline Channel Comparision</t>
  </si>
  <si>
    <t>Count of Order ID</t>
  </si>
  <si>
    <t>Discount impact On Profit</t>
  </si>
  <si>
    <t>Return Rate Analysis</t>
  </si>
  <si>
    <t>Count of Returns</t>
  </si>
  <si>
    <t>(All)</t>
  </si>
  <si>
    <t>Customer Segment Analysis</t>
  </si>
  <si>
    <t>"Annual Sales Performance Analysis"</t>
  </si>
  <si>
    <t>ShopEasy India - Sales Dashboard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</si>
</sst>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6" xfId="0" pivotButton="1" applyBorder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4" fillId="5" borderId="2" xfId="0" applyFont="1" applyFill="1" applyBorder="1"/>
    <xf numFmtId="0" fontId="0" fillId="5" borderId="2" xfId="0" applyFill="1" applyBorder="1"/>
    <xf numFmtId="0" fontId="0" fillId="0" borderId="3" xfId="0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0" xfId="0" pivotButton="1"/>
    <xf numFmtId="0" fontId="0" fillId="0" borderId="15" xfId="0" pivotButton="1" applyBorder="1"/>
    <xf numFmtId="0" fontId="0" fillId="0" borderId="16" xfId="0" applyBorder="1"/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8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[RetailSales_Dataset.xlsx]Analysis!PivotTable1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Sum of Total Sales (₹)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Analysis!$D$4:$D$8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Analysis!$E$4:$E$8</c:f>
              <c:numCache>
                <c:formatCode>General</c:formatCode>
                <c:ptCount val="4"/>
                <c:pt idx="0">
                  <c:v>3284584.15</c:v>
                </c:pt>
                <c:pt idx="1">
                  <c:v>4503859.6499999994</c:v>
                </c:pt>
                <c:pt idx="2">
                  <c:v>4784300.2</c:v>
                </c:pt>
                <c:pt idx="3">
                  <c:v>6115236.5000000009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0-40E8-B67D-A4F2788BB759}"/>
            </c:ext>
          </c:extLst>
        </c:ser>
        <c:ser>
          <c:idx val="1"/>
          <c:order val="1"/>
          <c:tx>
            <c:strRef>
              <c:f>Analysis!$F$3</c:f>
              <c:strCache>
                <c:ptCount val="1"/>
                <c:pt idx="0">
                  <c:v>Sum of Profit (₹)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Analysis!$D$4:$D$8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Analysis!$F$4:$F$8</c:f>
              <c:numCache>
                <c:formatCode>General</c:formatCode>
                <c:ptCount val="4"/>
                <c:pt idx="0">
                  <c:v>759908.7300000001</c:v>
                </c:pt>
                <c:pt idx="1">
                  <c:v>1008819.3199999996</c:v>
                </c:pt>
                <c:pt idx="2">
                  <c:v>1049853.4599999997</c:v>
                </c:pt>
                <c:pt idx="3">
                  <c:v>1157642.6200000001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0-40E8-B67D-A4F2788BB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7804544"/>
        <c:axId val="1527805984"/>
      </c:barChart>
      <c:catAx>
        <c:axId val="152780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05984"/>
        <c:crosses val="autoZero"/>
        <c:auto val="1"/>
        <c:lblAlgn val="ctr"/>
        <c:lblOffset val="100"/>
        <c:noMultiLvlLbl val="0"/>
      </c:catAx>
      <c:valAx>
        <c:axId val="15278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[RetailSales_Dataset.xlsx]Analysis!PivotTable5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Analysis!$E$11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Analysis!$D$12:$D$24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Analysis!$E$12:$E$24</c:f>
              <c:numCache>
                <c:formatCode>General</c:formatCode>
                <c:ptCount val="12"/>
                <c:pt idx="0">
                  <c:v>1251620.2</c:v>
                </c:pt>
                <c:pt idx="1">
                  <c:v>1736714.55</c:v>
                </c:pt>
                <c:pt idx="2">
                  <c:v>833886.7</c:v>
                </c:pt>
                <c:pt idx="3">
                  <c:v>800848.79999999993</c:v>
                </c:pt>
                <c:pt idx="4">
                  <c:v>1862861.0999999999</c:v>
                </c:pt>
                <c:pt idx="5">
                  <c:v>2242573.0999999996</c:v>
                </c:pt>
                <c:pt idx="6">
                  <c:v>2232930.9500000002</c:v>
                </c:pt>
                <c:pt idx="7">
                  <c:v>838447.45</c:v>
                </c:pt>
                <c:pt idx="8">
                  <c:v>2410469.75</c:v>
                </c:pt>
                <c:pt idx="9">
                  <c:v>1546060.55</c:v>
                </c:pt>
                <c:pt idx="10">
                  <c:v>1409135.3499999999</c:v>
                </c:pt>
                <c:pt idx="11">
                  <c:v>1522432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6-4081-84D5-A84CC0C67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094624"/>
        <c:axId val="1795090784"/>
      </c:lineChart>
      <c:catAx>
        <c:axId val="17950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90784"/>
        <c:crosses val="autoZero"/>
        <c:auto val="1"/>
        <c:lblAlgn val="ctr"/>
        <c:lblOffset val="100"/>
        <c:noMultiLvlLbl val="0"/>
      </c:catAx>
      <c:valAx>
        <c:axId val="17950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9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[RetailSales_Dataset.xlsx]Analysis!PivotTable4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630-4E24-96C9-257B8676CC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630-4E24-96C9-257B8676CC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630-4E24-96C9-257B8676CC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630-4E24-96C9-257B8676CC7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630-4E24-96C9-257B8676CC7D}"/>
              </c:ext>
            </c:extLst>
          </c:dPt>
          <c:cat>
            <c:strRef>
              <c:f>Analysis!$H$4:$H$9</c:f>
              <c:strCache>
                <c:ptCount val="5"/>
                <c:pt idx="0">
                  <c:v>Groceries</c:v>
                </c:pt>
                <c:pt idx="1">
                  <c:v>Sports</c:v>
                </c:pt>
                <c:pt idx="2">
                  <c:v>Clothing</c:v>
                </c:pt>
                <c:pt idx="3">
                  <c:v>Furniture</c:v>
                </c:pt>
                <c:pt idx="4">
                  <c:v>Electronics</c:v>
                </c:pt>
              </c:strCache>
            </c:strRef>
          </c:cat>
          <c:val>
            <c:numRef>
              <c:f>Analysis!$I$4:$I$9</c:f>
              <c:numCache>
                <c:formatCode>General</c:formatCode>
                <c:ptCount val="5"/>
                <c:pt idx="0">
                  <c:v>20477.059999999994</c:v>
                </c:pt>
                <c:pt idx="1">
                  <c:v>91737.179999999978</c:v>
                </c:pt>
                <c:pt idx="2">
                  <c:v>165599.82000000004</c:v>
                </c:pt>
                <c:pt idx="3">
                  <c:v>979860.16999999981</c:v>
                </c:pt>
                <c:pt idx="4">
                  <c:v>2718549.899999999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30-4E24-96C9-257B8676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[RetailSales_Dataset.xlsx]Analysis!PivotTable6</c:name>
    <c:fmtId val="2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Analysis!$I$12</c:f>
              <c:strCache>
                <c:ptCount val="1"/>
                <c:pt idx="0">
                  <c:v>Count of Order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Analysis!$H$13:$H$15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Analysis!$I$13:$I$15</c:f>
              <c:numCache>
                <c:formatCode>General</c:formatCode>
                <c:ptCount val="2"/>
                <c:pt idx="0">
                  <c:v>243</c:v>
                </c:pt>
                <c:pt idx="1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51-AEE1-0C0E4A52EBC4}"/>
            </c:ext>
          </c:extLst>
        </c:ser>
        <c:ser>
          <c:idx val="1"/>
          <c:order val="1"/>
          <c:tx>
            <c:strRef>
              <c:f>Analysis!$J$12</c:f>
              <c:strCache>
                <c:ptCount val="1"/>
                <c:pt idx="0">
                  <c:v>Sum of Total Sales (₹)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Analysis!$H$13:$H$15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Analysis!$J$13:$J$15</c:f>
              <c:numCache>
                <c:formatCode>General</c:formatCode>
                <c:ptCount val="2"/>
                <c:pt idx="0">
                  <c:v>8855323</c:v>
                </c:pt>
                <c:pt idx="1">
                  <c:v>9832657.4999999981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51-AEE1-0C0E4A52EBC4}"/>
            </c:ext>
          </c:extLst>
        </c:ser>
        <c:ser>
          <c:idx val="2"/>
          <c:order val="2"/>
          <c:tx>
            <c:strRef>
              <c:f>Analysis!$K$12</c:f>
              <c:strCache>
                <c:ptCount val="1"/>
                <c:pt idx="0">
                  <c:v>Sum of Profit (₹)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Analysis!$H$13:$H$15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Analysis!$K$13:$K$15</c:f>
              <c:numCache>
                <c:formatCode>General</c:formatCode>
                <c:ptCount val="2"/>
                <c:pt idx="0">
                  <c:v>1927634.44</c:v>
                </c:pt>
                <c:pt idx="1">
                  <c:v>2048589.689999999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51-AEE1-0C0E4A52E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6564351"/>
        <c:axId val="1336564831"/>
      </c:barChart>
      <c:catAx>
        <c:axId val="13365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64831"/>
        <c:crosses val="autoZero"/>
        <c:auto val="1"/>
        <c:lblAlgn val="ctr"/>
        <c:lblOffset val="100"/>
        <c:noMultiLvlLbl val="0"/>
      </c:catAx>
      <c:valAx>
        <c:axId val="13365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6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[RetailSales_Dataset.xlsx]Analysis!PivotTable3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/>
            </a:innerShdw>
          </a:effectLst>
        </c:spPr>
      </c:pivotFmt>
      <c:pivotFmt>
        <c:idx val="9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  <c:pivotFmt>
        <c:idx val="10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</c:pivotFmt>
      <c:pivotFmt>
        <c:idx val="11"/>
        <c:spPr>
          <a:pattFill prst="ltUpDiag">
            <a:fgClr>
              <a:schemeClr val="accent6">
                <a:lumMod val="60000"/>
              </a:schemeClr>
            </a:fgClr>
            <a:bgClr>
              <a:schemeClr val="accent6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60000"/>
              </a:schemeClr>
            </a:innerShdw>
          </a:effectLst>
        </c:spPr>
      </c:pivotFmt>
      <c:pivotFmt>
        <c:idx val="12"/>
        <c:spPr>
          <a:pattFill prst="ltUpDiag">
            <a:fgClr>
              <a:schemeClr val="accent5">
                <a:lumMod val="60000"/>
              </a:schemeClr>
            </a:fgClr>
            <a:bgClr>
              <a:schemeClr val="accent5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60000"/>
              </a:schemeClr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7A2-424A-8B4A-E1DA19B9A8D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7A2-424A-8B4A-E1DA19B9A8D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7A2-424A-8B4A-E1DA19B9A8D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7A2-424A-8B4A-E1DA19B9A8D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7A2-424A-8B4A-E1DA19B9A8D2}"/>
              </c:ext>
            </c:extLst>
          </c:dPt>
          <c:cat>
            <c:strRef>
              <c:f>Analysis!$L$4:$L$9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Analysis!$M$4:$M$9</c:f>
              <c:numCache>
                <c:formatCode>General</c:formatCode>
                <c:ptCount val="5"/>
                <c:pt idx="0">
                  <c:v>107</c:v>
                </c:pt>
                <c:pt idx="1">
                  <c:v>111</c:v>
                </c:pt>
                <c:pt idx="2">
                  <c:v>93</c:v>
                </c:pt>
                <c:pt idx="3">
                  <c:v>101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A2-424A-8B4A-E1DA19B9A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[RetailSales_Dataset.xlsx]Analysis!PivotTable7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Analysis!$E$27</c:f>
              <c:strCache>
                <c:ptCount val="1"/>
                <c:pt idx="0">
                  <c:v>Sum of Total 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Analysis!$D$28:$D$31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Analysis!$E$28:$E$31</c:f>
              <c:numCache>
                <c:formatCode>General</c:formatCode>
                <c:ptCount val="3"/>
                <c:pt idx="0">
                  <c:v>8847705</c:v>
                </c:pt>
                <c:pt idx="1">
                  <c:v>3885585.1</c:v>
                </c:pt>
                <c:pt idx="2">
                  <c:v>5954690.4000000022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9-4236-A0FF-DC97275527DE}"/>
            </c:ext>
          </c:extLst>
        </c:ser>
        <c:ser>
          <c:idx val="1"/>
          <c:order val="1"/>
          <c:tx>
            <c:strRef>
              <c:f>Analysis!$F$27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Analysis!$D$28:$D$31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Analysis!$F$28:$F$31</c:f>
              <c:numCache>
                <c:formatCode>General</c:formatCode>
                <c:ptCount val="3"/>
                <c:pt idx="0">
                  <c:v>191</c:v>
                </c:pt>
                <c:pt idx="1">
                  <c:v>148</c:v>
                </c:pt>
                <c:pt idx="2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9-4236-A0FF-DC97275527DE}"/>
            </c:ext>
          </c:extLst>
        </c:ser>
        <c:ser>
          <c:idx val="2"/>
          <c:order val="2"/>
          <c:tx>
            <c:strRef>
              <c:f>Analysis!$G$27</c:f>
              <c:strCache>
                <c:ptCount val="1"/>
                <c:pt idx="0">
                  <c:v>Sum of Profit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Analysis!$D$28:$D$31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Analysis!$G$28:$G$31</c:f>
              <c:numCache>
                <c:formatCode>General</c:formatCode>
                <c:ptCount val="3"/>
                <c:pt idx="0">
                  <c:v>1885567.1600000001</c:v>
                </c:pt>
                <c:pt idx="1">
                  <c:v>762545.37</c:v>
                </c:pt>
                <c:pt idx="2">
                  <c:v>1328111.5999999999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9-4236-A0FF-DC972755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603055"/>
        <c:axId val="1613616975"/>
        <c:axId val="0"/>
      </c:bar3DChart>
      <c:catAx>
        <c:axId val="161360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16975"/>
        <c:crosses val="autoZero"/>
        <c:auto val="1"/>
        <c:lblAlgn val="ctr"/>
        <c:lblOffset val="100"/>
        <c:noMultiLvlLbl val="0"/>
      </c:catAx>
      <c:valAx>
        <c:axId val="16136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165100</xdr:rowOff>
    </xdr:from>
    <xdr:to>
      <xdr:col>6</xdr:col>
      <xdr:colOff>6350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89C40-05FF-473A-9979-4CD1B72CA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12</xdr:col>
      <xdr:colOff>558800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BB3900-0DF2-4ACE-BCD7-9DFAFBF10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</xdr:row>
      <xdr:rowOff>0</xdr:rowOff>
    </xdr:from>
    <xdr:to>
      <xdr:col>19</xdr:col>
      <xdr:colOff>260350</xdr:colOff>
      <xdr:row>16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B5A294-62CF-4CED-982F-0436C621A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44450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94737-39C5-46C2-93AF-562CA234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571500</xdr:colOff>
      <xdr:row>31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C7882D-CD56-4512-BADF-10BEB3130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20</xdr:col>
      <xdr:colOff>304800</xdr:colOff>
      <xdr:row>31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B25389-BD21-4D01-964D-65436383C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i Buddy! Good To See You" refreshedDate="46179.674709027779" createdVersion="8" refreshedVersion="8" minRefreshableVersion="3" recordCount="500" xr:uid="{97EA9E7F-1F58-46B7-913C-74C89F962685}">
  <cacheSource type="worksheet">
    <worksheetSource ref="A1:Q501" sheet="Sales Data"/>
  </cacheSource>
  <cacheFields count="17">
    <cacheField name="Order ID" numFmtId="0">
      <sharedItems/>
    </cacheField>
    <cacheField name="Order Date" numFmtId="0">
      <sharedItems/>
    </cacheField>
    <cacheField name="Month" numFmtId="0">
      <sharedItems count="12">
        <s v="December"/>
        <s v="November"/>
        <s v="June"/>
        <s v="July"/>
        <s v="April"/>
        <s v="September"/>
        <s v="October"/>
        <s v="August"/>
        <s v="February"/>
        <s v="May"/>
        <s v="March"/>
        <s v="January"/>
      </sharedItems>
    </cacheField>
    <cacheField name="Year" numFmtId="0">
      <sharedItems/>
    </cacheField>
    <cacheField name="Customer Name" numFmtId="0">
      <sharedItems/>
    </cacheField>
    <cacheField name="Customer Segment" numFmtId="0">
      <sharedItems count="3">
        <s v="Corporate"/>
        <s v="Retail"/>
        <s v="Wholesale"/>
      </sharedItems>
    </cacheField>
    <cacheField name="Region" numFmtId="0">
      <sharedItems count="4">
        <s v="North"/>
        <s v="East"/>
        <s v="South"/>
        <s v="West"/>
      </sharedItems>
    </cacheField>
    <cacheField name="State" numFmtId="0">
      <sharedItems/>
    </cacheField>
    <cacheField name="Product Category" numFmtId="0">
      <sharedItems count="5">
        <s v="Furniture"/>
        <s v="Clothing"/>
        <s v="Groceries"/>
        <s v="Electronics"/>
        <s v="Sports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 (₹)" numFmtId="0">
      <sharedItems containsSemiMixedTypes="0" containsString="0" containsNumber="1" containsInteger="1" minValue="120" maxValue="45000"/>
    </cacheField>
    <cacheField name="Discount (%)" numFmtId="0">
      <sharedItems containsSemiMixedTypes="0" containsString="0" containsNumber="1" containsInteger="1" minValue="0" maxValue="20" count="5">
        <n v="5"/>
        <n v="0"/>
        <n v="10"/>
        <n v="20"/>
        <n v="15"/>
      </sharedItems>
    </cacheField>
    <cacheField name="Total Sales (₹)" numFmtId="0">
      <sharedItems containsSemiMixedTypes="0" containsString="0" containsNumber="1" minValue="96" maxValue="450000" count="358">
        <n v="20900"/>
        <n v="19990"/>
        <n v="1045"/>
        <n v="288000"/>
        <n v="64800"/>
        <n v="11520"/>
        <n v="600"/>
        <n v="405000"/>
        <n v="3800"/>
        <n v="34200"/>
        <n v="2400"/>
        <n v="43200"/>
        <n v="17991"/>
        <n v="450000"/>
        <n v="153000"/>
        <n v="2280"/>
        <n v="72000"/>
        <n v="6400"/>
        <n v="1200"/>
        <n v="9937.35"/>
        <n v="315000"/>
        <n v="3196"/>
        <n v="28500"/>
        <n v="8400"/>
        <n v="765"/>
        <n v="6480"/>
        <n v="760"/>
        <n v="30400"/>
        <n v="220"/>
        <n v="22000"/>
        <n v="2374.0500000000002"/>
        <n v="27200"/>
        <n v="5760"/>
        <n v="49500"/>
        <n v="432"/>
        <n v="1680"/>
        <n v="51300"/>
        <n v="30800"/>
        <n v="18000"/>
        <n v="204"/>
        <n v="848.3"/>
        <n v="17992.8"/>
        <n v="28800"/>
        <n v="1683"/>
        <n v="1890"/>
        <n v="1463"/>
        <n v="1368"/>
        <n v="374"/>
        <n v="1039.2"/>
        <n v="7680"/>
        <n v="288"/>
        <n v="113400"/>
        <n v="56100"/>
        <n v="3420"/>
        <n v="182400"/>
        <n v="1520"/>
        <n v="85500"/>
        <n v="3060"/>
        <n v="9352.7999999999993"/>
        <n v="72675"/>
        <n v="63750"/>
        <n v="256000"/>
        <n v="3817.35"/>
        <n v="4800"/>
        <n v="11691"/>
        <n v="25600"/>
        <n v="474.05"/>
        <n v="137700"/>
        <n v="360000"/>
        <n v="5700"/>
        <n v="229500"/>
        <n v="47600"/>
        <n v="1260"/>
        <n v="14400"/>
        <n v="76500"/>
        <n v="15750"/>
        <n v="864"/>
        <n v="2249.1"/>
        <n v="324000"/>
        <n v="306"/>
        <n v="6120"/>
        <n v="64000"/>
        <n v="21280"/>
        <n v="342"/>
        <n v="1360"/>
        <n v="19992"/>
        <n v="176"/>
        <n v="9495.25"/>
        <n v="12750"/>
        <n v="1320"/>
        <n v="1050"/>
        <n v="8500"/>
        <n v="880"/>
        <n v="13200"/>
        <n v="1799.1"/>
        <n v="2844.3"/>
        <n v="230400"/>
        <n v="297.5"/>
        <n v="54000"/>
        <n v="153900"/>
        <n v="990"/>
        <n v="6000"/>
        <n v="81000"/>
        <n v="1080"/>
        <n v="3595.5"/>
        <n v="51000"/>
        <n v="12990"/>
        <n v="24990"/>
        <n v="212800"/>
        <n v="2450"/>
        <n v="672"/>
        <n v="44000"/>
        <n v="150"/>
        <n v="807.5"/>
        <n v="2100"/>
        <n v="13600"/>
        <n v="5400"/>
        <n v="52800"/>
        <n v="3897"/>
        <n v="3117.6"/>
        <n v="4560"/>
        <n v="158400"/>
        <n v="4950"/>
        <n v="1500"/>
        <n v="27500"/>
        <n v="3610"/>
        <n v="108000"/>
        <n v="102600"/>
        <n v="1662.5"/>
        <n v="202500"/>
        <n v="855"/>
        <n v="12744.9"/>
        <n v="1881"/>
        <n v="96"/>
        <n v="70400"/>
        <n v="8000"/>
        <n v="57800"/>
        <n v="44550"/>
        <n v="12000"/>
        <n v="332.5"/>
        <n v="59400"/>
        <n v="449.1"/>
        <n v="19117.349999999999"/>
        <n v="11994"/>
        <n v="4074.9"/>
        <n v="768"/>
        <n v="10392"/>
        <n v="17091.45"/>
        <n v="7267.5"/>
        <n v="480"/>
        <n v="35200"/>
        <n v="2160"/>
        <n v="3000"/>
        <n v="4500"/>
        <n v="3992"/>
        <n v="3200"/>
        <n v="405"/>
        <n v="918"/>
        <n v="660"/>
        <n v="1020"/>
        <n v="1296"/>
        <n v="152000"/>
        <n v="3040"/>
        <n v="3198.4"/>
        <n v="6112.35"/>
        <n v="11894.05"/>
        <n v="16625"/>
        <n v="40500"/>
        <n v="16000"/>
        <n v="100800"/>
        <n v="2560"/>
        <n v="3570"/>
        <n v="1999.2"/>
        <n v="352"/>
        <n v="6796.6"/>
        <n v="24480"/>
        <n v="1996"/>
        <n v="5120"/>
        <n v="2277.15"/>
        <n v="119700"/>
        <n v="127500"/>
        <n v="16191.9"/>
        <n v="1598"/>
        <n v="201600"/>
        <n v="6375"/>
        <n v="86400"/>
        <n v="283500"/>
        <n v="945"/>
        <n v="209000"/>
        <n v="11400"/>
        <n v="32725"/>
        <n v="180000"/>
        <n v="350"/>
        <n v="57600"/>
        <n v="14392.8"/>
        <n v="24225"/>
        <n v="459"/>
        <n v="1278.4000000000001"/>
        <n v="576"/>
        <n v="1805"/>
        <n v="627"/>
        <n v="6460"/>
        <n v="40375"/>
        <n v="679.15"/>
        <n v="2880"/>
        <n v="12800"/>
        <n v="4936.2"/>
        <n v="300"/>
        <n v="306000"/>
        <n v="45900"/>
        <n v="17100"/>
        <n v="81600"/>
        <n v="7122.15"/>
        <n v="21241.5"/>
        <n v="39600"/>
        <n v="1190"/>
        <n v="4590"/>
        <n v="4000"/>
        <n v="171"/>
        <n v="3592.8"/>
        <n v="34650"/>
        <n v="1699.15"/>
        <n v="160000"/>
        <n v="150000"/>
        <n v="104500"/>
        <n v="1540"/>
        <n v="7990"/>
        <n v="6750"/>
        <n v="66000"/>
        <n v="2125"/>
        <n v="7200"/>
        <n v="33000"/>
        <n v="216"/>
        <n v="4241.5"/>
        <n v="9500"/>
        <n v="1071"/>
        <n v="315"/>
        <n v="27000"/>
        <n v="898.2"/>
        <n v="11000"/>
        <n v="136800"/>
        <n v="149600"/>
        <n v="19125"/>
        <n v="1104.1500000000001"/>
        <n v="91200"/>
        <n v="1309"/>
        <n v="41800"/>
        <n v="902.5"/>
        <n v="20480"/>
        <n v="972"/>
        <n v="4676.3999999999996"/>
        <n v="9996"/>
        <n v="68000"/>
        <n v="7996"/>
        <n v="19040"/>
        <n v="1440"/>
        <n v="256500"/>
        <n v="997.5"/>
        <n v="594"/>
        <n v="840"/>
        <n v="40800"/>
        <n v="2794.4"/>
        <n v="128250"/>
        <n v="17500"/>
        <n v="4080"/>
        <n v="30000"/>
        <n v="2245.5"/>
        <n v="7014.6"/>
        <n v="190400"/>
        <n v="1497"/>
        <n v="3825"/>
        <n v="9025"/>
        <n v="3393.2"/>
        <n v="224000"/>
        <n v="6372.45"/>
        <n v="935"/>
        <n v="9995"/>
        <n v="46750"/>
        <n v="6080"/>
        <n v="9093"/>
        <n v="22500"/>
        <n v="2660"/>
        <n v="61200"/>
        <n v="2716.6"/>
        <n v="382500"/>
        <n v="5433.2"/>
        <n v="162"/>
        <n v="810"/>
        <n v="4320"/>
        <n v="1377"/>
        <n v="2078.4"/>
        <n v="1197.5999999999999"/>
        <n v="9600"/>
        <n v="7274.4"/>
        <n v="15743.7"/>
        <n v="5033.7"/>
        <n v="1008"/>
        <n v="3990"/>
        <n v="12593.7"/>
        <n v="1275"/>
        <n v="4250"/>
        <n v="1358.3"/>
        <n v="1710"/>
        <n v="10800"/>
        <n v="5997"/>
        <n v="2677.5"/>
        <n v="1134"/>
        <n v="42075"/>
        <n v="360"/>
        <n v="42750"/>
        <n v="4275"/>
        <n v="176000"/>
        <n v="1518.1"/>
        <n v="2700"/>
        <n v="11106.45"/>
        <n v="4797.6000000000004"/>
        <n v="1422.15"/>
        <n v="25500"/>
        <n v="675"/>
        <n v="3143.7"/>
        <n v="25920"/>
        <n v="65025"/>
        <n v="4248.3"/>
        <n v="60000"/>
        <n v="13293.35"/>
        <n v="105000"/>
        <n v="10500"/>
        <n v="204800"/>
        <n v="54400"/>
        <n v="21366.45"/>
        <n v="3835.2"/>
        <n v="1330"/>
        <n v="2370.25"/>
        <n v="146300"/>
        <n v="17600"/>
        <n v="3230"/>
        <n v="135000"/>
        <n v="513"/>
        <n v="6650"/>
        <n v="2422.5"/>
        <n v="14250"/>
        <n v="8640"/>
        <n v="75000"/>
        <n v="240"/>
        <n v="1169.0999999999999"/>
        <n v="6392"/>
        <n v="16320"/>
        <n v="10260"/>
        <n v="3360"/>
        <n v="7196.4"/>
        <n v="10000"/>
        <n v="2835"/>
        <n v="225000"/>
        <n v="36125"/>
        <n v="2375"/>
        <n v="2000"/>
        <n v="6495"/>
        <n v="7590.5"/>
      </sharedItems>
    </cacheField>
    <cacheField name="Profit (₹)" numFmtId="0">
      <sharedItems containsSemiMixedTypes="0" containsString="0" containsNumber="1" minValue="11.66" maxValue="139443.60999999999"/>
    </cacheField>
    <cacheField name="Sales Channel" numFmtId="0">
      <sharedItems count="2">
        <s v="Online"/>
        <s v="Offline"/>
      </sharedItems>
    </cacheField>
    <cacheField name="Return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s v="2024-12-12"/>
    <x v="0"/>
    <s v="2024"/>
    <s v="Customer_055"/>
    <x v="0"/>
    <x v="0"/>
    <s v="Delhi"/>
    <x v="0"/>
    <s v="Study Table"/>
    <n v="4"/>
    <n v="5500"/>
    <x v="0"/>
    <x v="0"/>
    <n v="5827.91"/>
    <x v="0"/>
    <x v="0"/>
  </r>
  <r>
    <s v="ORD-0002"/>
    <s v="2024-11-28"/>
    <x v="1"/>
    <s v="2024"/>
    <s v="Customer_058"/>
    <x v="1"/>
    <x v="0"/>
    <s v="Punjab"/>
    <x v="1"/>
    <s v="Jacket"/>
    <n v="10"/>
    <n v="1999"/>
    <x v="1"/>
    <x v="1"/>
    <n v="4628.41"/>
    <x v="1"/>
    <x v="0"/>
  </r>
  <r>
    <s v="ORD-0003"/>
    <s v="2024-06-21"/>
    <x v="2"/>
    <s v="2024"/>
    <s v="Customer_049"/>
    <x v="1"/>
    <x v="0"/>
    <s v="Punjab"/>
    <x v="2"/>
    <s v="Oil Can"/>
    <n v="5"/>
    <n v="220"/>
    <x v="0"/>
    <x v="2"/>
    <n v="144.35"/>
    <x v="0"/>
    <x v="0"/>
  </r>
  <r>
    <s v="ORD-0004"/>
    <s v="2024-07-12"/>
    <x v="3"/>
    <s v="2024"/>
    <s v="Customer_038"/>
    <x v="0"/>
    <x v="1"/>
    <s v="Bihar"/>
    <x v="3"/>
    <s v="Smart TV"/>
    <n v="9"/>
    <n v="32000"/>
    <x v="1"/>
    <x v="3"/>
    <n v="98709.48"/>
    <x v="0"/>
    <x v="0"/>
  </r>
  <r>
    <s v="ORD-0005"/>
    <s v="2024-04-29"/>
    <x v="4"/>
    <s v="2024"/>
    <s v="Customer_036"/>
    <x v="2"/>
    <x v="1"/>
    <s v="Odisha"/>
    <x v="3"/>
    <s v="Smartphone"/>
    <n v="4"/>
    <n v="18000"/>
    <x v="2"/>
    <x v="4"/>
    <n v="22421.439999999999"/>
    <x v="0"/>
    <x v="0"/>
  </r>
  <r>
    <s v="ORD-0006"/>
    <s v="2024-12-15"/>
    <x v="0"/>
    <s v="2024"/>
    <s v="Customer_082"/>
    <x v="0"/>
    <x v="1"/>
    <s v="Odisha"/>
    <x v="0"/>
    <s v="Bookshelf"/>
    <n v="4"/>
    <n v="3200"/>
    <x v="2"/>
    <x v="5"/>
    <n v="3104.54"/>
    <x v="0"/>
    <x v="0"/>
  </r>
  <r>
    <s v="ORD-0007"/>
    <s v="2024-06-15"/>
    <x v="2"/>
    <s v="2024"/>
    <s v="Customer_005"/>
    <x v="1"/>
    <x v="2"/>
    <s v="Karnataka"/>
    <x v="2"/>
    <s v="Spices Kit"/>
    <n v="5"/>
    <n v="150"/>
    <x v="3"/>
    <x v="6"/>
    <n v="83.58"/>
    <x v="0"/>
    <x v="0"/>
  </r>
  <r>
    <s v="ORD-0008"/>
    <s v="2024-09-12"/>
    <x v="5"/>
    <s v="2024"/>
    <s v="Customer_059"/>
    <x v="0"/>
    <x v="3"/>
    <s v="Rajasthan"/>
    <x v="3"/>
    <s v="Laptop"/>
    <n v="10"/>
    <n v="45000"/>
    <x v="2"/>
    <x v="7"/>
    <n v="55650.71"/>
    <x v="1"/>
    <x v="0"/>
  </r>
  <r>
    <s v="ORD-0009"/>
    <s v="2024-10-25"/>
    <x v="6"/>
    <s v="2024"/>
    <s v="Customer_029"/>
    <x v="2"/>
    <x v="2"/>
    <s v="Karnataka"/>
    <x v="4"/>
    <s v="Badminton Set"/>
    <n v="5"/>
    <n v="950"/>
    <x v="3"/>
    <x v="8"/>
    <n v="743.57"/>
    <x v="1"/>
    <x v="1"/>
  </r>
  <r>
    <s v="ORD-0010"/>
    <s v="2024-12-14"/>
    <x v="0"/>
    <s v="2024"/>
    <s v="Customer_009"/>
    <x v="0"/>
    <x v="2"/>
    <s v="Andhra Pradesh"/>
    <x v="3"/>
    <s v="Smartphone"/>
    <n v="2"/>
    <n v="18000"/>
    <x v="0"/>
    <x v="9"/>
    <n v="8529.84"/>
    <x v="1"/>
    <x v="0"/>
  </r>
  <r>
    <s v="ORD-0011"/>
    <s v="2024-11-24"/>
    <x v="1"/>
    <s v="2024"/>
    <s v="Customer_038"/>
    <x v="1"/>
    <x v="3"/>
    <s v="Rajasthan"/>
    <x v="4"/>
    <s v="Cricket Bat"/>
    <n v="2"/>
    <n v="1500"/>
    <x v="3"/>
    <x v="10"/>
    <n v="678.57"/>
    <x v="1"/>
    <x v="0"/>
  </r>
  <r>
    <s v="ORD-0012"/>
    <s v="2024-11-16"/>
    <x v="1"/>
    <s v="2024"/>
    <s v="Customer_065"/>
    <x v="0"/>
    <x v="3"/>
    <s v="Maharashtra"/>
    <x v="0"/>
    <s v="Bed Frame"/>
    <n v="3"/>
    <n v="18000"/>
    <x v="3"/>
    <x v="11"/>
    <n v="14100.89"/>
    <x v="1"/>
    <x v="0"/>
  </r>
  <r>
    <s v="ORD-0013"/>
    <s v="2024-09-07"/>
    <x v="5"/>
    <s v="2024"/>
    <s v="Customer_047"/>
    <x v="1"/>
    <x v="2"/>
    <s v="Kerala"/>
    <x v="1"/>
    <s v="Jacket"/>
    <n v="9"/>
    <n v="1999"/>
    <x v="1"/>
    <x v="12"/>
    <n v="4348.7"/>
    <x v="0"/>
    <x v="1"/>
  </r>
  <r>
    <s v="ORD-0014"/>
    <s v="2024-09-05"/>
    <x v="5"/>
    <s v="2024"/>
    <s v="Customer_099"/>
    <x v="0"/>
    <x v="1"/>
    <s v="Odisha"/>
    <x v="3"/>
    <s v="Laptop"/>
    <n v="10"/>
    <n v="45000"/>
    <x v="1"/>
    <x v="13"/>
    <n v="46406.89"/>
    <x v="0"/>
    <x v="0"/>
  </r>
  <r>
    <s v="ORD-0015"/>
    <s v="2024-10-03"/>
    <x v="6"/>
    <s v="2024"/>
    <s v="Customer_040"/>
    <x v="0"/>
    <x v="3"/>
    <s v="Gujarat"/>
    <x v="0"/>
    <s v="Bed Frame"/>
    <n v="10"/>
    <n v="18000"/>
    <x v="4"/>
    <x v="14"/>
    <n v="52077.83"/>
    <x v="0"/>
    <x v="0"/>
  </r>
  <r>
    <s v="ORD-0016"/>
    <s v="2024-06-22"/>
    <x v="2"/>
    <s v="2024"/>
    <s v="Customer_071"/>
    <x v="0"/>
    <x v="1"/>
    <s v="Jharkhand"/>
    <x v="4"/>
    <s v="Dumbbells"/>
    <n v="2"/>
    <n v="1200"/>
    <x v="0"/>
    <x v="15"/>
    <n v="320.72000000000003"/>
    <x v="0"/>
    <x v="0"/>
  </r>
  <r>
    <s v="ORD-0017"/>
    <s v="2024-06-18"/>
    <x v="2"/>
    <s v="2024"/>
    <s v="Customer_031"/>
    <x v="0"/>
    <x v="2"/>
    <s v="Tamil Nadu"/>
    <x v="3"/>
    <s v="Smartphone"/>
    <n v="4"/>
    <n v="18000"/>
    <x v="1"/>
    <x v="16"/>
    <n v="23361.37"/>
    <x v="0"/>
    <x v="0"/>
  </r>
  <r>
    <s v="ORD-0018"/>
    <s v="2024-08-30"/>
    <x v="7"/>
    <s v="2024"/>
    <s v="Customer_013"/>
    <x v="1"/>
    <x v="3"/>
    <s v="Gujarat"/>
    <x v="4"/>
    <s v="Football"/>
    <n v="10"/>
    <n v="800"/>
    <x v="3"/>
    <x v="17"/>
    <n v="1328.78"/>
    <x v="1"/>
    <x v="0"/>
  </r>
  <r>
    <s v="ORD-0019"/>
    <s v="2024-11-26"/>
    <x v="1"/>
    <s v="2024"/>
    <s v="Customer_052"/>
    <x v="1"/>
    <x v="3"/>
    <s v="Rajasthan"/>
    <x v="2"/>
    <s v="Spices Kit"/>
    <n v="8"/>
    <n v="150"/>
    <x v="1"/>
    <x v="18"/>
    <n v="314.17"/>
    <x v="0"/>
    <x v="0"/>
  </r>
  <r>
    <s v="ORD-0020"/>
    <s v="2024-04-03"/>
    <x v="4"/>
    <s v="2024"/>
    <s v="Customer_032"/>
    <x v="2"/>
    <x v="0"/>
    <s v="Punjab"/>
    <x v="1"/>
    <s v="Jeans"/>
    <n v="9"/>
    <n v="1299"/>
    <x v="4"/>
    <x v="19"/>
    <n v="1171.1099999999999"/>
    <x v="1"/>
    <x v="1"/>
  </r>
  <r>
    <s v="ORD-0021"/>
    <s v="2024-02-17"/>
    <x v="8"/>
    <s v="2024"/>
    <s v="Customer_053"/>
    <x v="1"/>
    <x v="0"/>
    <s v="Uttar Pradesh"/>
    <x v="4"/>
    <s v="Cricket Bat"/>
    <n v="1"/>
    <n v="1500"/>
    <x v="3"/>
    <x v="18"/>
    <n v="366.87"/>
    <x v="0"/>
    <x v="0"/>
  </r>
  <r>
    <s v="ORD-0022"/>
    <s v="2024-05-15"/>
    <x v="9"/>
    <s v="2024"/>
    <s v="Customer_055"/>
    <x v="2"/>
    <x v="2"/>
    <s v="Andhra Pradesh"/>
    <x v="3"/>
    <s v="Laptop"/>
    <n v="7"/>
    <n v="45000"/>
    <x v="1"/>
    <x v="20"/>
    <n v="109000.52"/>
    <x v="1"/>
    <x v="0"/>
  </r>
  <r>
    <s v="ORD-0023"/>
    <s v="2024-10-04"/>
    <x v="6"/>
    <s v="2024"/>
    <s v="Customer_041"/>
    <x v="0"/>
    <x v="3"/>
    <s v="Gujarat"/>
    <x v="1"/>
    <s v="Kurta"/>
    <n v="4"/>
    <n v="799"/>
    <x v="1"/>
    <x v="21"/>
    <n v="755.47"/>
    <x v="0"/>
    <x v="0"/>
  </r>
  <r>
    <s v="ORD-0024"/>
    <s v="2024-02-04"/>
    <x v="8"/>
    <s v="2024"/>
    <s v="Customer_016"/>
    <x v="2"/>
    <x v="3"/>
    <s v="Gujarat"/>
    <x v="3"/>
    <s v="Tablet"/>
    <n v="2"/>
    <n v="15000"/>
    <x v="0"/>
    <x v="22"/>
    <n v="2807.27"/>
    <x v="0"/>
    <x v="1"/>
  </r>
  <r>
    <s v="ORD-0025"/>
    <s v="2024-06-10"/>
    <x v="2"/>
    <s v="2024"/>
    <s v="Customer_086"/>
    <x v="1"/>
    <x v="2"/>
    <s v="Tamil Nadu"/>
    <x v="4"/>
    <s v="Cricket Bat"/>
    <n v="7"/>
    <n v="1500"/>
    <x v="3"/>
    <x v="23"/>
    <n v="1953.93"/>
    <x v="1"/>
    <x v="0"/>
  </r>
  <r>
    <s v="ORD-0026"/>
    <s v="2024-02-07"/>
    <x v="8"/>
    <s v="2024"/>
    <s v="Customer_080"/>
    <x v="2"/>
    <x v="2"/>
    <s v="Kerala"/>
    <x v="2"/>
    <s v="Dal Pack"/>
    <n v="5"/>
    <n v="180"/>
    <x v="4"/>
    <x v="24"/>
    <n v="126.51"/>
    <x v="0"/>
    <x v="1"/>
  </r>
  <r>
    <s v="ORD-0027"/>
    <s v="2024-06-27"/>
    <x v="2"/>
    <s v="2024"/>
    <s v="Customer_048"/>
    <x v="1"/>
    <x v="0"/>
    <s v="Delhi"/>
    <x v="4"/>
    <s v="Football"/>
    <n v="9"/>
    <n v="800"/>
    <x v="2"/>
    <x v="25"/>
    <n v="750.15"/>
    <x v="0"/>
    <x v="0"/>
  </r>
  <r>
    <s v="ORD-0028"/>
    <s v="2024-12-05"/>
    <x v="0"/>
    <s v="2024"/>
    <s v="Customer_034"/>
    <x v="1"/>
    <x v="3"/>
    <s v="Rajasthan"/>
    <x v="4"/>
    <s v="Badminton Set"/>
    <n v="1"/>
    <n v="950"/>
    <x v="3"/>
    <x v="26"/>
    <n v="122.23"/>
    <x v="0"/>
    <x v="0"/>
  </r>
  <r>
    <s v="ORD-0029"/>
    <s v="2024-04-14"/>
    <x v="4"/>
    <s v="2024"/>
    <s v="Customer_063"/>
    <x v="0"/>
    <x v="0"/>
    <s v="Punjab"/>
    <x v="0"/>
    <s v="Bookshelf"/>
    <n v="10"/>
    <n v="3200"/>
    <x v="0"/>
    <x v="27"/>
    <n v="8322.16"/>
    <x v="1"/>
    <x v="0"/>
  </r>
  <r>
    <s v="ORD-0030"/>
    <s v="2024-03-07"/>
    <x v="10"/>
    <s v="2024"/>
    <s v="Customer_095"/>
    <x v="1"/>
    <x v="0"/>
    <s v="Delhi"/>
    <x v="2"/>
    <s v="Oil Can"/>
    <n v="1"/>
    <n v="220"/>
    <x v="1"/>
    <x v="28"/>
    <n v="37.409999999999997"/>
    <x v="1"/>
    <x v="0"/>
  </r>
  <r>
    <s v="ORD-0031"/>
    <s v="2024-07-08"/>
    <x v="3"/>
    <s v="2024"/>
    <s v="Customer_017"/>
    <x v="2"/>
    <x v="3"/>
    <s v="Maharashtra"/>
    <x v="3"/>
    <s v="Smartphone"/>
    <n v="3"/>
    <n v="18000"/>
    <x v="3"/>
    <x v="11"/>
    <n v="3876.23"/>
    <x v="0"/>
    <x v="0"/>
  </r>
  <r>
    <s v="ORD-0032"/>
    <s v="2024-10-13"/>
    <x v="6"/>
    <s v="2024"/>
    <s v="Customer_096"/>
    <x v="0"/>
    <x v="1"/>
    <s v="West Bengal"/>
    <x v="0"/>
    <s v="Study Table"/>
    <n v="4"/>
    <n v="5500"/>
    <x v="1"/>
    <x v="29"/>
    <n v="3860.85"/>
    <x v="1"/>
    <x v="0"/>
  </r>
  <r>
    <s v="ORD-0033"/>
    <s v="2024-06-19"/>
    <x v="2"/>
    <s v="2024"/>
    <s v="Customer_095"/>
    <x v="0"/>
    <x v="2"/>
    <s v="Karnataka"/>
    <x v="1"/>
    <s v="Saree"/>
    <n v="1"/>
    <n v="2499"/>
    <x v="0"/>
    <x v="30"/>
    <n v="662.06"/>
    <x v="1"/>
    <x v="0"/>
  </r>
  <r>
    <s v="ORD-0034"/>
    <s v="2024-08-23"/>
    <x v="7"/>
    <s v="2024"/>
    <s v="Customer_030"/>
    <x v="2"/>
    <x v="1"/>
    <s v="Odisha"/>
    <x v="3"/>
    <s v="Smart TV"/>
    <n v="1"/>
    <n v="32000"/>
    <x v="4"/>
    <x v="31"/>
    <n v="3809.55"/>
    <x v="1"/>
    <x v="0"/>
  </r>
  <r>
    <s v="ORD-0035"/>
    <s v="2024-09-17"/>
    <x v="5"/>
    <s v="2024"/>
    <s v="Customer_069"/>
    <x v="0"/>
    <x v="2"/>
    <s v="Andhra Pradesh"/>
    <x v="0"/>
    <s v="Bookshelf"/>
    <n v="2"/>
    <n v="3200"/>
    <x v="2"/>
    <x v="32"/>
    <n v="1006.9"/>
    <x v="1"/>
    <x v="0"/>
  </r>
  <r>
    <s v="ORD-0036"/>
    <s v="2024-11-01"/>
    <x v="1"/>
    <s v="2024"/>
    <s v="Customer_094"/>
    <x v="2"/>
    <x v="0"/>
    <s v="Delhi"/>
    <x v="0"/>
    <s v="Study Table"/>
    <n v="10"/>
    <n v="5500"/>
    <x v="2"/>
    <x v="33"/>
    <n v="4471.3100000000004"/>
    <x v="1"/>
    <x v="0"/>
  </r>
  <r>
    <s v="ORD-0037"/>
    <s v="2024-08-11"/>
    <x v="7"/>
    <s v="2024"/>
    <s v="Customer_069"/>
    <x v="0"/>
    <x v="3"/>
    <s v="Maharashtra"/>
    <x v="2"/>
    <s v="Flour Pack"/>
    <n v="4"/>
    <n v="120"/>
    <x v="2"/>
    <x v="34"/>
    <n v="39.74"/>
    <x v="0"/>
    <x v="0"/>
  </r>
  <r>
    <s v="ORD-0038"/>
    <s v="2024-03-04"/>
    <x v="10"/>
    <s v="2024"/>
    <s v="Customer_040"/>
    <x v="0"/>
    <x v="2"/>
    <s v="Kerala"/>
    <x v="2"/>
    <s v="Rice (5kg)"/>
    <n v="6"/>
    <n v="350"/>
    <x v="3"/>
    <x v="35"/>
    <n v="276.79000000000002"/>
    <x v="1"/>
    <x v="0"/>
  </r>
  <r>
    <s v="ORD-0039"/>
    <s v="2024-07-13"/>
    <x v="3"/>
    <s v="2024"/>
    <s v="Customer_073"/>
    <x v="0"/>
    <x v="1"/>
    <s v="Jharkhand"/>
    <x v="0"/>
    <s v="Bed Frame"/>
    <n v="3"/>
    <n v="18000"/>
    <x v="0"/>
    <x v="36"/>
    <n v="9927.6"/>
    <x v="0"/>
    <x v="0"/>
  </r>
  <r>
    <s v="ORD-0040"/>
    <s v="2024-06-13"/>
    <x v="2"/>
    <s v="2024"/>
    <s v="Customer_057"/>
    <x v="2"/>
    <x v="0"/>
    <s v="Haryana"/>
    <x v="0"/>
    <s v="Study Table"/>
    <n v="7"/>
    <n v="5500"/>
    <x v="3"/>
    <x v="37"/>
    <n v="7509"/>
    <x v="1"/>
    <x v="0"/>
  </r>
  <r>
    <s v="ORD-0041"/>
    <s v="2024-04-30"/>
    <x v="4"/>
    <s v="2024"/>
    <s v="Customer_026"/>
    <x v="1"/>
    <x v="3"/>
    <s v="Gujarat"/>
    <x v="3"/>
    <s v="Headphones"/>
    <n v="9"/>
    <n v="2500"/>
    <x v="3"/>
    <x v="38"/>
    <n v="3069.01"/>
    <x v="1"/>
    <x v="0"/>
  </r>
  <r>
    <s v="ORD-0042"/>
    <s v="2024-11-18"/>
    <x v="1"/>
    <s v="2024"/>
    <s v="Customer_090"/>
    <x v="0"/>
    <x v="0"/>
    <s v="Punjab"/>
    <x v="2"/>
    <s v="Flour Pack"/>
    <n v="2"/>
    <n v="120"/>
    <x v="4"/>
    <x v="39"/>
    <n v="39.15"/>
    <x v="0"/>
    <x v="0"/>
  </r>
  <r>
    <s v="ORD-0043"/>
    <s v="2024-12-22"/>
    <x v="0"/>
    <s v="2024"/>
    <s v="Customer_072"/>
    <x v="1"/>
    <x v="3"/>
    <s v="Gujarat"/>
    <x v="1"/>
    <s v="T-Shirt"/>
    <n v="2"/>
    <n v="499"/>
    <x v="4"/>
    <x v="40"/>
    <n v="117.99"/>
    <x v="1"/>
    <x v="0"/>
  </r>
  <r>
    <s v="ORD-0044"/>
    <s v="2024-08-14"/>
    <x v="7"/>
    <s v="2024"/>
    <s v="Customer_058"/>
    <x v="0"/>
    <x v="0"/>
    <s v="Uttar Pradesh"/>
    <x v="1"/>
    <s v="Saree"/>
    <n v="9"/>
    <n v="2499"/>
    <x v="3"/>
    <x v="41"/>
    <n v="4332.16"/>
    <x v="1"/>
    <x v="1"/>
  </r>
  <r>
    <s v="ORD-0045"/>
    <s v="2024-05-02"/>
    <x v="9"/>
    <s v="2024"/>
    <s v="Customer_010"/>
    <x v="2"/>
    <x v="3"/>
    <s v="Goa"/>
    <x v="0"/>
    <s v="Study Table"/>
    <n v="5"/>
    <n v="5500"/>
    <x v="3"/>
    <x v="29"/>
    <n v="4638.51"/>
    <x v="1"/>
    <x v="0"/>
  </r>
  <r>
    <s v="ORD-0046"/>
    <s v="2024-04-28"/>
    <x v="4"/>
    <s v="2024"/>
    <s v="Customer_020"/>
    <x v="0"/>
    <x v="2"/>
    <s v="Kerala"/>
    <x v="0"/>
    <s v="Bookshelf"/>
    <n v="9"/>
    <n v="3200"/>
    <x v="1"/>
    <x v="42"/>
    <n v="3380"/>
    <x v="1"/>
    <x v="0"/>
  </r>
  <r>
    <s v="ORD-0047"/>
    <s v="2024-04-15"/>
    <x v="4"/>
    <s v="2024"/>
    <s v="Customer_099"/>
    <x v="2"/>
    <x v="0"/>
    <s v="Uttar Pradesh"/>
    <x v="2"/>
    <s v="Oil Can"/>
    <n v="9"/>
    <n v="220"/>
    <x v="4"/>
    <x v="43"/>
    <n v="323.57"/>
    <x v="1"/>
    <x v="0"/>
  </r>
  <r>
    <s v="ORD-0048"/>
    <s v="2024-08-02"/>
    <x v="7"/>
    <s v="2024"/>
    <s v="Customer_029"/>
    <x v="2"/>
    <x v="0"/>
    <s v="Uttar Pradesh"/>
    <x v="2"/>
    <s v="Rice (5kg)"/>
    <n v="6"/>
    <n v="350"/>
    <x v="2"/>
    <x v="44"/>
    <n v="535.70000000000005"/>
    <x v="0"/>
    <x v="0"/>
  </r>
  <r>
    <s v="ORD-0049"/>
    <s v="2024-03-06"/>
    <x v="10"/>
    <s v="2024"/>
    <s v="Customer_076"/>
    <x v="2"/>
    <x v="3"/>
    <s v="Maharashtra"/>
    <x v="2"/>
    <s v="Oil Can"/>
    <n v="7"/>
    <n v="220"/>
    <x v="0"/>
    <x v="45"/>
    <n v="449.05"/>
    <x v="0"/>
    <x v="0"/>
  </r>
  <r>
    <s v="ORD-0050"/>
    <s v="2024-07-13"/>
    <x v="3"/>
    <s v="2024"/>
    <s v="Customer_059"/>
    <x v="1"/>
    <x v="0"/>
    <s v="Delhi"/>
    <x v="2"/>
    <s v="Dal Pack"/>
    <n v="8"/>
    <n v="180"/>
    <x v="0"/>
    <x v="46"/>
    <n v="128.01"/>
    <x v="1"/>
    <x v="0"/>
  </r>
  <r>
    <s v="ORD-0051"/>
    <s v="2024-10-03"/>
    <x v="6"/>
    <s v="2024"/>
    <s v="Customer_029"/>
    <x v="2"/>
    <x v="3"/>
    <s v="Rajasthan"/>
    <x v="2"/>
    <s v="Oil Can"/>
    <n v="2"/>
    <n v="220"/>
    <x v="4"/>
    <x v="47"/>
    <n v="31.88"/>
    <x v="0"/>
    <x v="0"/>
  </r>
  <r>
    <s v="ORD-0052"/>
    <s v="2024-03-05"/>
    <x v="10"/>
    <s v="2024"/>
    <s v="Customer_015"/>
    <x v="0"/>
    <x v="0"/>
    <s v="Delhi"/>
    <x v="1"/>
    <s v="Jeans"/>
    <n v="1"/>
    <n v="1299"/>
    <x v="3"/>
    <x v="48"/>
    <n v="125.89"/>
    <x v="1"/>
    <x v="0"/>
  </r>
  <r>
    <s v="ORD-0053"/>
    <s v="2024-02-28"/>
    <x v="8"/>
    <s v="2024"/>
    <s v="Customer_014"/>
    <x v="2"/>
    <x v="2"/>
    <s v="Andhra Pradesh"/>
    <x v="0"/>
    <s v="Bookshelf"/>
    <n v="3"/>
    <n v="3200"/>
    <x v="3"/>
    <x v="49"/>
    <n v="1873.59"/>
    <x v="0"/>
    <x v="0"/>
  </r>
  <r>
    <s v="ORD-0054"/>
    <s v="2024-11-17"/>
    <x v="1"/>
    <s v="2024"/>
    <s v="Customer_090"/>
    <x v="1"/>
    <x v="1"/>
    <s v="Jharkhand"/>
    <x v="2"/>
    <s v="Dal Pack"/>
    <n v="2"/>
    <n v="180"/>
    <x v="3"/>
    <x v="50"/>
    <n v="76.739999999999995"/>
    <x v="0"/>
    <x v="0"/>
  </r>
  <r>
    <s v="ORD-0055"/>
    <s v="2024-11-27"/>
    <x v="1"/>
    <s v="2024"/>
    <s v="Customer_054"/>
    <x v="1"/>
    <x v="0"/>
    <s v="Delhi"/>
    <x v="0"/>
    <s v="Bed Frame"/>
    <n v="7"/>
    <n v="18000"/>
    <x v="2"/>
    <x v="51"/>
    <n v="11183.32"/>
    <x v="1"/>
    <x v="0"/>
  </r>
  <r>
    <s v="ORD-0056"/>
    <s v="2024-09-24"/>
    <x v="5"/>
    <s v="2024"/>
    <s v="Customer_069"/>
    <x v="0"/>
    <x v="0"/>
    <s v="Uttar Pradesh"/>
    <x v="0"/>
    <s v="Sofa"/>
    <n v="3"/>
    <n v="22000"/>
    <x v="4"/>
    <x v="52"/>
    <n v="7155.95"/>
    <x v="1"/>
    <x v="0"/>
  </r>
  <r>
    <s v="ORD-0057"/>
    <s v="2024-02-14"/>
    <x v="8"/>
    <s v="2024"/>
    <s v="Customer_032"/>
    <x v="2"/>
    <x v="3"/>
    <s v="Goa"/>
    <x v="4"/>
    <s v="Yoga Mat"/>
    <n v="6"/>
    <n v="600"/>
    <x v="0"/>
    <x v="53"/>
    <n v="1040.7"/>
    <x v="1"/>
    <x v="0"/>
  </r>
  <r>
    <s v="ORD-0058"/>
    <s v="2024-06-30"/>
    <x v="2"/>
    <s v="2024"/>
    <s v="Customer_036"/>
    <x v="2"/>
    <x v="3"/>
    <s v="Rajasthan"/>
    <x v="3"/>
    <s v="Smart TV"/>
    <n v="6"/>
    <n v="32000"/>
    <x v="0"/>
    <x v="54"/>
    <n v="38602.86"/>
    <x v="1"/>
    <x v="1"/>
  </r>
  <r>
    <s v="ORD-0059"/>
    <s v="2024-09-07"/>
    <x v="5"/>
    <s v="2024"/>
    <s v="Customer_061"/>
    <x v="0"/>
    <x v="1"/>
    <s v="West Bengal"/>
    <x v="4"/>
    <s v="Football"/>
    <n v="2"/>
    <n v="800"/>
    <x v="0"/>
    <x v="55"/>
    <n v="417.12"/>
    <x v="0"/>
    <x v="0"/>
  </r>
  <r>
    <s v="ORD-0060"/>
    <s v="2024-05-04"/>
    <x v="9"/>
    <s v="2024"/>
    <s v="Customer_075"/>
    <x v="0"/>
    <x v="3"/>
    <s v="Goa"/>
    <x v="3"/>
    <s v="Smartphone"/>
    <n v="5"/>
    <n v="18000"/>
    <x v="0"/>
    <x v="56"/>
    <n v="16175.6"/>
    <x v="1"/>
    <x v="0"/>
  </r>
  <r>
    <s v="ORD-0061"/>
    <s v="2024-05-08"/>
    <x v="9"/>
    <s v="2024"/>
    <s v="Customer_093"/>
    <x v="1"/>
    <x v="1"/>
    <s v="Jharkhand"/>
    <x v="4"/>
    <s v="Yoga Mat"/>
    <n v="6"/>
    <n v="600"/>
    <x v="4"/>
    <x v="57"/>
    <n v="468.63"/>
    <x v="0"/>
    <x v="0"/>
  </r>
  <r>
    <s v="ORD-0062"/>
    <s v="2024-09-25"/>
    <x v="5"/>
    <s v="2024"/>
    <s v="Customer_025"/>
    <x v="1"/>
    <x v="0"/>
    <s v="Punjab"/>
    <x v="1"/>
    <s v="Jeans"/>
    <n v="8"/>
    <n v="1299"/>
    <x v="2"/>
    <x v="58"/>
    <n v="2577.9899999999998"/>
    <x v="1"/>
    <x v="0"/>
  </r>
  <r>
    <s v="ORD-0063"/>
    <s v="2024-01-28"/>
    <x v="11"/>
    <s v="2024"/>
    <s v="Customer_017"/>
    <x v="0"/>
    <x v="1"/>
    <s v="Odisha"/>
    <x v="0"/>
    <s v="Office Chair"/>
    <n v="9"/>
    <n v="8500"/>
    <x v="0"/>
    <x v="59"/>
    <n v="11196.61"/>
    <x v="1"/>
    <x v="0"/>
  </r>
  <r>
    <s v="ORD-0064"/>
    <s v="2024-06-23"/>
    <x v="2"/>
    <s v="2024"/>
    <s v="Customer_033"/>
    <x v="1"/>
    <x v="3"/>
    <s v="Maharashtra"/>
    <x v="3"/>
    <s v="Tablet"/>
    <n v="5"/>
    <n v="15000"/>
    <x v="4"/>
    <x v="60"/>
    <n v="13339.87"/>
    <x v="0"/>
    <x v="1"/>
  </r>
  <r>
    <s v="ORD-0065"/>
    <s v="2024-12-17"/>
    <x v="0"/>
    <s v="2024"/>
    <s v="Customer_020"/>
    <x v="1"/>
    <x v="3"/>
    <s v="Maharashtra"/>
    <x v="3"/>
    <s v="Smart TV"/>
    <n v="8"/>
    <n v="32000"/>
    <x v="1"/>
    <x v="61"/>
    <n v="60363.7"/>
    <x v="0"/>
    <x v="0"/>
  </r>
  <r>
    <s v="ORD-0066"/>
    <s v="2024-11-12"/>
    <x v="1"/>
    <s v="2024"/>
    <s v="Customer_049"/>
    <x v="0"/>
    <x v="1"/>
    <s v="West Bengal"/>
    <x v="1"/>
    <s v="T-Shirt"/>
    <n v="9"/>
    <n v="499"/>
    <x v="4"/>
    <x v="62"/>
    <n v="930.31"/>
    <x v="0"/>
    <x v="0"/>
  </r>
  <r>
    <s v="ORD-0067"/>
    <s v="2024-11-08"/>
    <x v="1"/>
    <s v="2024"/>
    <s v="Customer_081"/>
    <x v="1"/>
    <x v="3"/>
    <s v="Rajasthan"/>
    <x v="4"/>
    <s v="Dumbbells"/>
    <n v="5"/>
    <n v="1200"/>
    <x v="3"/>
    <x v="63"/>
    <n v="1188.8499999999999"/>
    <x v="0"/>
    <x v="0"/>
  </r>
  <r>
    <s v="ORD-0068"/>
    <s v="2024-07-28"/>
    <x v="3"/>
    <s v="2024"/>
    <s v="Customer_077"/>
    <x v="0"/>
    <x v="0"/>
    <s v="Punjab"/>
    <x v="1"/>
    <s v="Jeans"/>
    <n v="9"/>
    <n v="1299"/>
    <x v="1"/>
    <x v="64"/>
    <n v="1429.39"/>
    <x v="1"/>
    <x v="0"/>
  </r>
  <r>
    <s v="ORD-0069"/>
    <s v="2024-05-15"/>
    <x v="9"/>
    <s v="2024"/>
    <s v="Customer_015"/>
    <x v="2"/>
    <x v="0"/>
    <s v="Punjab"/>
    <x v="0"/>
    <s v="Bookshelf"/>
    <n v="8"/>
    <n v="3200"/>
    <x v="1"/>
    <x v="65"/>
    <n v="6799.2"/>
    <x v="0"/>
    <x v="0"/>
  </r>
  <r>
    <s v="ORD-0070"/>
    <s v="2024-10-31"/>
    <x v="6"/>
    <s v="2024"/>
    <s v="Customer_016"/>
    <x v="2"/>
    <x v="2"/>
    <s v="Kerala"/>
    <x v="1"/>
    <s v="T-Shirt"/>
    <n v="1"/>
    <n v="499"/>
    <x v="0"/>
    <x v="66"/>
    <n v="139.38"/>
    <x v="1"/>
    <x v="0"/>
  </r>
  <r>
    <s v="ORD-0071"/>
    <s v="2024-11-02"/>
    <x v="1"/>
    <s v="2024"/>
    <s v="Customer_095"/>
    <x v="2"/>
    <x v="1"/>
    <s v="Jharkhand"/>
    <x v="0"/>
    <s v="Bed Frame"/>
    <n v="9"/>
    <n v="18000"/>
    <x v="4"/>
    <x v="67"/>
    <n v="27291.439999999999"/>
    <x v="0"/>
    <x v="0"/>
  </r>
  <r>
    <s v="ORD-0072"/>
    <s v="2024-12-10"/>
    <x v="0"/>
    <s v="2024"/>
    <s v="Customer_006"/>
    <x v="0"/>
    <x v="1"/>
    <s v="West Bengal"/>
    <x v="3"/>
    <s v="Laptop"/>
    <n v="10"/>
    <n v="45000"/>
    <x v="3"/>
    <x v="68"/>
    <n v="121216.43"/>
    <x v="1"/>
    <x v="0"/>
  </r>
  <r>
    <s v="ORD-0073"/>
    <s v="2024-08-11"/>
    <x v="7"/>
    <s v="2024"/>
    <s v="Customer_061"/>
    <x v="1"/>
    <x v="2"/>
    <s v="Andhra Pradesh"/>
    <x v="4"/>
    <s v="Dumbbells"/>
    <n v="5"/>
    <n v="1200"/>
    <x v="0"/>
    <x v="69"/>
    <n v="1990.3"/>
    <x v="1"/>
    <x v="0"/>
  </r>
  <r>
    <s v="ORD-0074"/>
    <s v="2024-05-27"/>
    <x v="9"/>
    <s v="2024"/>
    <s v="Customer_005"/>
    <x v="0"/>
    <x v="1"/>
    <s v="Bihar"/>
    <x v="3"/>
    <s v="Laptop"/>
    <n v="6"/>
    <n v="45000"/>
    <x v="4"/>
    <x v="70"/>
    <n v="61343.49"/>
    <x v="1"/>
    <x v="0"/>
  </r>
  <r>
    <s v="ORD-0075"/>
    <s v="2024-01-01"/>
    <x v="11"/>
    <s v="2024"/>
    <s v="Customer_007"/>
    <x v="2"/>
    <x v="1"/>
    <s v="Bihar"/>
    <x v="0"/>
    <s v="Office Chair"/>
    <n v="7"/>
    <n v="8500"/>
    <x v="3"/>
    <x v="71"/>
    <n v="14409.96"/>
    <x v="1"/>
    <x v="0"/>
  </r>
  <r>
    <s v="ORD-0076"/>
    <s v="2024-05-27"/>
    <x v="9"/>
    <s v="2024"/>
    <s v="Customer_063"/>
    <x v="0"/>
    <x v="1"/>
    <s v="Jharkhand"/>
    <x v="2"/>
    <s v="Rice (5kg)"/>
    <n v="4"/>
    <n v="350"/>
    <x v="2"/>
    <x v="72"/>
    <n v="287.64"/>
    <x v="1"/>
    <x v="0"/>
  </r>
  <r>
    <s v="ORD-0077"/>
    <s v="2024-04-25"/>
    <x v="4"/>
    <s v="2024"/>
    <s v="Customer_016"/>
    <x v="2"/>
    <x v="2"/>
    <s v="Karnataka"/>
    <x v="0"/>
    <s v="Bed Frame"/>
    <n v="1"/>
    <n v="18000"/>
    <x v="3"/>
    <x v="73"/>
    <n v="2738.27"/>
    <x v="0"/>
    <x v="0"/>
  </r>
  <r>
    <s v="ORD-0078"/>
    <s v="2024-08-29"/>
    <x v="7"/>
    <s v="2024"/>
    <s v="Customer_071"/>
    <x v="2"/>
    <x v="2"/>
    <s v="Andhra Pradesh"/>
    <x v="0"/>
    <s v="Bed Frame"/>
    <n v="5"/>
    <n v="18000"/>
    <x v="4"/>
    <x v="74"/>
    <n v="23361.22"/>
    <x v="0"/>
    <x v="0"/>
  </r>
  <r>
    <s v="ORD-0079"/>
    <s v="2024-09-16"/>
    <x v="5"/>
    <s v="2024"/>
    <s v="Customer_037"/>
    <x v="1"/>
    <x v="2"/>
    <s v="Karnataka"/>
    <x v="3"/>
    <s v="Headphones"/>
    <n v="7"/>
    <n v="2500"/>
    <x v="2"/>
    <x v="75"/>
    <n v="5232.8900000000003"/>
    <x v="1"/>
    <x v="0"/>
  </r>
  <r>
    <s v="ORD-0080"/>
    <s v="2024-10-05"/>
    <x v="6"/>
    <s v="2024"/>
    <s v="Customer_042"/>
    <x v="2"/>
    <x v="3"/>
    <s v="Gujarat"/>
    <x v="2"/>
    <s v="Flour Pack"/>
    <n v="8"/>
    <n v="120"/>
    <x v="2"/>
    <x v="76"/>
    <n v="146.66999999999999"/>
    <x v="1"/>
    <x v="1"/>
  </r>
  <r>
    <s v="ORD-0081"/>
    <s v="2024-12-27"/>
    <x v="0"/>
    <s v="2024"/>
    <s v="Customer_085"/>
    <x v="2"/>
    <x v="2"/>
    <s v="Andhra Pradesh"/>
    <x v="1"/>
    <s v="Saree"/>
    <n v="1"/>
    <n v="2499"/>
    <x v="2"/>
    <x v="77"/>
    <n v="632.16"/>
    <x v="1"/>
    <x v="0"/>
  </r>
  <r>
    <s v="ORD-0082"/>
    <s v="2024-02-21"/>
    <x v="8"/>
    <s v="2024"/>
    <s v="Customer_068"/>
    <x v="1"/>
    <x v="2"/>
    <s v="Andhra Pradesh"/>
    <x v="3"/>
    <s v="Laptop"/>
    <n v="9"/>
    <n v="45000"/>
    <x v="3"/>
    <x v="78"/>
    <n v="54962.9"/>
    <x v="1"/>
    <x v="1"/>
  </r>
  <r>
    <s v="ORD-0083"/>
    <s v="2024-05-15"/>
    <x v="9"/>
    <s v="2024"/>
    <s v="Customer_089"/>
    <x v="0"/>
    <x v="0"/>
    <s v="Punjab"/>
    <x v="2"/>
    <s v="Dal Pack"/>
    <n v="2"/>
    <n v="180"/>
    <x v="4"/>
    <x v="79"/>
    <n v="89.05"/>
    <x v="1"/>
    <x v="0"/>
  </r>
  <r>
    <s v="ORD-0084"/>
    <s v="2024-01-19"/>
    <x v="11"/>
    <s v="2024"/>
    <s v="Customer_081"/>
    <x v="1"/>
    <x v="0"/>
    <s v="Haryana"/>
    <x v="4"/>
    <s v="Dumbbells"/>
    <n v="6"/>
    <n v="1200"/>
    <x v="4"/>
    <x v="80"/>
    <n v="1931.13"/>
    <x v="0"/>
    <x v="0"/>
  </r>
  <r>
    <s v="ORD-0085"/>
    <s v="2024-12-21"/>
    <x v="0"/>
    <s v="2024"/>
    <s v="Customer_006"/>
    <x v="1"/>
    <x v="1"/>
    <s v="Odisha"/>
    <x v="3"/>
    <s v="Smart TV"/>
    <n v="2"/>
    <n v="32000"/>
    <x v="1"/>
    <x v="81"/>
    <n v="12786.77"/>
    <x v="1"/>
    <x v="0"/>
  </r>
  <r>
    <s v="ORD-0086"/>
    <s v="2024-07-29"/>
    <x v="3"/>
    <s v="2024"/>
    <s v="Customer_023"/>
    <x v="1"/>
    <x v="0"/>
    <s v="Haryana"/>
    <x v="0"/>
    <s v="Bookshelf"/>
    <n v="7"/>
    <n v="3200"/>
    <x v="0"/>
    <x v="82"/>
    <n v="3105.46"/>
    <x v="0"/>
    <x v="0"/>
  </r>
  <r>
    <s v="ORD-0087"/>
    <s v="2024-05-10"/>
    <x v="9"/>
    <s v="2024"/>
    <s v="Customer_086"/>
    <x v="2"/>
    <x v="3"/>
    <s v="Gujarat"/>
    <x v="2"/>
    <s v="Flour Pack"/>
    <n v="3"/>
    <n v="120"/>
    <x v="0"/>
    <x v="83"/>
    <n v="69.94"/>
    <x v="1"/>
    <x v="0"/>
  </r>
  <r>
    <s v="ORD-0088"/>
    <s v="2024-10-27"/>
    <x v="6"/>
    <s v="2024"/>
    <s v="Customer_055"/>
    <x v="0"/>
    <x v="3"/>
    <s v="Rajasthan"/>
    <x v="4"/>
    <s v="Football"/>
    <n v="2"/>
    <n v="800"/>
    <x v="4"/>
    <x v="84"/>
    <n v="455.89"/>
    <x v="1"/>
    <x v="0"/>
  </r>
  <r>
    <s v="ORD-0089"/>
    <s v="2024-10-19"/>
    <x v="6"/>
    <s v="2024"/>
    <s v="Customer_038"/>
    <x v="0"/>
    <x v="3"/>
    <s v="Rajasthan"/>
    <x v="1"/>
    <s v="Saree"/>
    <n v="8"/>
    <n v="2499"/>
    <x v="1"/>
    <x v="85"/>
    <n v="2879.76"/>
    <x v="1"/>
    <x v="1"/>
  </r>
  <r>
    <s v="ORD-0090"/>
    <s v="2024-01-26"/>
    <x v="11"/>
    <s v="2024"/>
    <s v="Customer_100"/>
    <x v="2"/>
    <x v="1"/>
    <s v="West Bengal"/>
    <x v="2"/>
    <s v="Oil Can"/>
    <n v="1"/>
    <n v="220"/>
    <x v="3"/>
    <x v="86"/>
    <n v="55.19"/>
    <x v="1"/>
    <x v="0"/>
  </r>
  <r>
    <s v="ORD-0091"/>
    <s v="2024-11-17"/>
    <x v="1"/>
    <s v="2024"/>
    <s v="Customer_057"/>
    <x v="2"/>
    <x v="1"/>
    <s v="Odisha"/>
    <x v="1"/>
    <s v="Jacket"/>
    <n v="5"/>
    <n v="1999"/>
    <x v="0"/>
    <x v="87"/>
    <n v="2370.27"/>
    <x v="0"/>
    <x v="0"/>
  </r>
  <r>
    <s v="ORD-0092"/>
    <s v="2024-03-08"/>
    <x v="10"/>
    <s v="2024"/>
    <s v="Customer_065"/>
    <x v="0"/>
    <x v="1"/>
    <s v="Odisha"/>
    <x v="3"/>
    <s v="Headphones"/>
    <n v="6"/>
    <n v="2500"/>
    <x v="4"/>
    <x v="88"/>
    <n v="1624.64"/>
    <x v="1"/>
    <x v="1"/>
  </r>
  <r>
    <s v="ORD-0093"/>
    <s v="2024-02-08"/>
    <x v="8"/>
    <s v="2024"/>
    <s v="Customer_087"/>
    <x v="1"/>
    <x v="2"/>
    <s v="Kerala"/>
    <x v="2"/>
    <s v="Oil Can"/>
    <n v="6"/>
    <n v="220"/>
    <x v="1"/>
    <x v="89"/>
    <n v="272.51"/>
    <x v="0"/>
    <x v="0"/>
  </r>
  <r>
    <s v="ORD-0094"/>
    <s v="2024-08-20"/>
    <x v="7"/>
    <s v="2024"/>
    <s v="Customer_096"/>
    <x v="0"/>
    <x v="3"/>
    <s v="Rajasthan"/>
    <x v="3"/>
    <s v="Smart TV"/>
    <n v="1"/>
    <n v="32000"/>
    <x v="2"/>
    <x v="42"/>
    <n v="6476.39"/>
    <x v="1"/>
    <x v="0"/>
  </r>
  <r>
    <s v="ORD-0095"/>
    <s v="2024-10-14"/>
    <x v="6"/>
    <s v="2024"/>
    <s v="Customer_029"/>
    <x v="0"/>
    <x v="3"/>
    <s v="Rajasthan"/>
    <x v="3"/>
    <s v="Laptop"/>
    <n v="8"/>
    <n v="45000"/>
    <x v="1"/>
    <x v="68"/>
    <n v="89019.96"/>
    <x v="1"/>
    <x v="0"/>
  </r>
  <r>
    <s v="ORD-0096"/>
    <s v="2024-06-04"/>
    <x v="2"/>
    <s v="2024"/>
    <s v="Customer_013"/>
    <x v="1"/>
    <x v="3"/>
    <s v="Rajasthan"/>
    <x v="2"/>
    <s v="Rice (5kg)"/>
    <n v="3"/>
    <n v="350"/>
    <x v="1"/>
    <x v="90"/>
    <n v="352.27"/>
    <x v="1"/>
    <x v="0"/>
  </r>
  <r>
    <s v="ORD-0097"/>
    <s v="2024-03-20"/>
    <x v="10"/>
    <s v="2024"/>
    <s v="Customer_013"/>
    <x v="0"/>
    <x v="2"/>
    <s v="Andhra Pradesh"/>
    <x v="2"/>
    <s v="Oil Can"/>
    <n v="9"/>
    <n v="220"/>
    <x v="4"/>
    <x v="43"/>
    <n v="401.53"/>
    <x v="1"/>
    <x v="0"/>
  </r>
  <r>
    <s v="ORD-0098"/>
    <s v="2024-04-30"/>
    <x v="4"/>
    <s v="2024"/>
    <s v="Customer_088"/>
    <x v="1"/>
    <x v="3"/>
    <s v="Rajasthan"/>
    <x v="3"/>
    <s v="Headphones"/>
    <n v="4"/>
    <n v="2500"/>
    <x v="4"/>
    <x v="91"/>
    <n v="1700.58"/>
    <x v="1"/>
    <x v="0"/>
  </r>
  <r>
    <s v="ORD-0099"/>
    <s v="2024-08-20"/>
    <x v="7"/>
    <s v="2024"/>
    <s v="Customer_028"/>
    <x v="0"/>
    <x v="1"/>
    <s v="West Bengal"/>
    <x v="2"/>
    <s v="Oil Can"/>
    <n v="4"/>
    <n v="220"/>
    <x v="1"/>
    <x v="92"/>
    <n v="295.88"/>
    <x v="0"/>
    <x v="0"/>
  </r>
  <r>
    <s v="ORD-0100"/>
    <s v="2024-10-10"/>
    <x v="6"/>
    <s v="2024"/>
    <s v="Customer_028"/>
    <x v="0"/>
    <x v="0"/>
    <s v="Delhi"/>
    <x v="0"/>
    <s v="Study Table"/>
    <n v="3"/>
    <n v="5500"/>
    <x v="3"/>
    <x v="93"/>
    <n v="1787.35"/>
    <x v="0"/>
    <x v="0"/>
  </r>
  <r>
    <s v="ORD-0101"/>
    <s v="2024-03-15"/>
    <x v="10"/>
    <s v="2024"/>
    <s v="Customer_033"/>
    <x v="0"/>
    <x v="2"/>
    <s v="Kerala"/>
    <x v="1"/>
    <s v="Jacket"/>
    <n v="1"/>
    <n v="1999"/>
    <x v="2"/>
    <x v="94"/>
    <n v="560.9"/>
    <x v="0"/>
    <x v="0"/>
  </r>
  <r>
    <s v="ORD-0102"/>
    <s v="2024-01-09"/>
    <x v="11"/>
    <s v="2024"/>
    <s v="Customer_007"/>
    <x v="2"/>
    <x v="0"/>
    <s v="Delhi"/>
    <x v="1"/>
    <s v="T-Shirt"/>
    <n v="6"/>
    <n v="499"/>
    <x v="0"/>
    <x v="95"/>
    <n v="679.76"/>
    <x v="0"/>
    <x v="0"/>
  </r>
  <r>
    <s v="ORD-0103"/>
    <s v="2024-02-25"/>
    <x v="8"/>
    <s v="2024"/>
    <s v="Customer_029"/>
    <x v="0"/>
    <x v="3"/>
    <s v="Maharashtra"/>
    <x v="3"/>
    <s v="Smart TV"/>
    <n v="8"/>
    <n v="32000"/>
    <x v="2"/>
    <x v="96"/>
    <n v="50359.51"/>
    <x v="1"/>
    <x v="1"/>
  </r>
  <r>
    <s v="ORD-0104"/>
    <s v="2024-08-06"/>
    <x v="7"/>
    <s v="2024"/>
    <s v="Customer_092"/>
    <x v="2"/>
    <x v="0"/>
    <s v="Haryana"/>
    <x v="2"/>
    <s v="Rice (5kg)"/>
    <n v="1"/>
    <n v="350"/>
    <x v="4"/>
    <x v="97"/>
    <n v="91.86"/>
    <x v="0"/>
    <x v="1"/>
  </r>
  <r>
    <s v="ORD-0105"/>
    <s v="2024-11-15"/>
    <x v="1"/>
    <s v="2024"/>
    <s v="Customer_077"/>
    <x v="2"/>
    <x v="0"/>
    <s v="Delhi"/>
    <x v="0"/>
    <s v="Bed Frame"/>
    <n v="3"/>
    <n v="18000"/>
    <x v="1"/>
    <x v="98"/>
    <n v="6159.87"/>
    <x v="1"/>
    <x v="0"/>
  </r>
  <r>
    <s v="ORD-0106"/>
    <s v="2024-04-26"/>
    <x v="4"/>
    <s v="2024"/>
    <s v="Customer_059"/>
    <x v="2"/>
    <x v="3"/>
    <s v="Goa"/>
    <x v="3"/>
    <s v="Smartphone"/>
    <n v="9"/>
    <n v="18000"/>
    <x v="0"/>
    <x v="99"/>
    <n v="30182.7"/>
    <x v="1"/>
    <x v="0"/>
  </r>
  <r>
    <s v="ORD-0107"/>
    <s v="2024-12-17"/>
    <x v="0"/>
    <s v="2024"/>
    <s v="Customer_012"/>
    <x v="1"/>
    <x v="0"/>
    <s v="Haryana"/>
    <x v="2"/>
    <s v="Oil Can"/>
    <n v="5"/>
    <n v="220"/>
    <x v="2"/>
    <x v="100"/>
    <n v="334.1"/>
    <x v="1"/>
    <x v="0"/>
  </r>
  <r>
    <s v="ORD-0108"/>
    <s v="2024-10-14"/>
    <x v="6"/>
    <s v="2024"/>
    <s v="Customer_016"/>
    <x v="0"/>
    <x v="0"/>
    <s v="Uttar Pradesh"/>
    <x v="3"/>
    <s v="Headphones"/>
    <n v="3"/>
    <n v="2500"/>
    <x v="3"/>
    <x v="101"/>
    <n v="577.16999999999996"/>
    <x v="1"/>
    <x v="0"/>
  </r>
  <r>
    <s v="ORD-0109"/>
    <s v="2024-09-16"/>
    <x v="5"/>
    <s v="2024"/>
    <s v="Customer_085"/>
    <x v="1"/>
    <x v="3"/>
    <s v="Maharashtra"/>
    <x v="0"/>
    <s v="Bed Frame"/>
    <n v="5"/>
    <n v="18000"/>
    <x v="2"/>
    <x v="102"/>
    <n v="8745.74"/>
    <x v="0"/>
    <x v="0"/>
  </r>
  <r>
    <s v="ORD-0110"/>
    <s v="2024-08-07"/>
    <x v="7"/>
    <s v="2024"/>
    <s v="Customer_085"/>
    <x v="0"/>
    <x v="0"/>
    <s v="Haryana"/>
    <x v="4"/>
    <s v="Yoga Mat"/>
    <n v="2"/>
    <n v="600"/>
    <x v="2"/>
    <x v="103"/>
    <n v="253.81"/>
    <x v="0"/>
    <x v="0"/>
  </r>
  <r>
    <s v="ORD-0111"/>
    <s v="2024-04-02"/>
    <x v="4"/>
    <s v="2024"/>
    <s v="Customer_085"/>
    <x v="0"/>
    <x v="1"/>
    <s v="West Bengal"/>
    <x v="1"/>
    <s v="Kurta"/>
    <n v="5"/>
    <n v="799"/>
    <x v="2"/>
    <x v="104"/>
    <n v="628.41"/>
    <x v="0"/>
    <x v="0"/>
  </r>
  <r>
    <s v="ORD-0112"/>
    <s v="2024-06-23"/>
    <x v="2"/>
    <s v="2024"/>
    <s v="Customer_040"/>
    <x v="2"/>
    <x v="2"/>
    <s v="Tamil Nadu"/>
    <x v="3"/>
    <s v="Tablet"/>
    <n v="4"/>
    <n v="15000"/>
    <x v="4"/>
    <x v="105"/>
    <n v="9861.09"/>
    <x v="0"/>
    <x v="0"/>
  </r>
  <r>
    <s v="ORD-0113"/>
    <s v="2024-05-19"/>
    <x v="9"/>
    <s v="2024"/>
    <s v="Customer_055"/>
    <x v="0"/>
    <x v="0"/>
    <s v="Delhi"/>
    <x v="1"/>
    <s v="Jeans"/>
    <n v="10"/>
    <n v="1299"/>
    <x v="1"/>
    <x v="106"/>
    <n v="3403.01"/>
    <x v="1"/>
    <x v="0"/>
  </r>
  <r>
    <s v="ORD-0114"/>
    <s v="2024-02-26"/>
    <x v="8"/>
    <s v="2024"/>
    <s v="Customer_087"/>
    <x v="0"/>
    <x v="3"/>
    <s v="Goa"/>
    <x v="0"/>
    <s v="Study Table"/>
    <n v="9"/>
    <n v="5500"/>
    <x v="1"/>
    <x v="33"/>
    <n v="8573.24"/>
    <x v="1"/>
    <x v="0"/>
  </r>
  <r>
    <s v="ORD-0115"/>
    <s v="2024-06-03"/>
    <x v="2"/>
    <s v="2024"/>
    <s v="Customer_098"/>
    <x v="1"/>
    <x v="1"/>
    <s v="West Bengal"/>
    <x v="1"/>
    <s v="Saree"/>
    <n v="10"/>
    <n v="2499"/>
    <x v="1"/>
    <x v="107"/>
    <n v="2051.0700000000002"/>
    <x v="0"/>
    <x v="0"/>
  </r>
  <r>
    <s v="ORD-0116"/>
    <s v="2024-09-29"/>
    <x v="5"/>
    <s v="2024"/>
    <s v="Customer_072"/>
    <x v="0"/>
    <x v="1"/>
    <s v="West Bengal"/>
    <x v="3"/>
    <s v="Smart TV"/>
    <n v="7"/>
    <n v="32000"/>
    <x v="0"/>
    <x v="108"/>
    <n v="24446.49"/>
    <x v="0"/>
    <x v="0"/>
  </r>
  <r>
    <s v="ORD-0117"/>
    <s v="2024-02-09"/>
    <x v="8"/>
    <s v="2024"/>
    <s v="Customer_055"/>
    <x v="0"/>
    <x v="1"/>
    <s v="West Bengal"/>
    <x v="2"/>
    <s v="Rice (5kg)"/>
    <n v="7"/>
    <n v="350"/>
    <x v="1"/>
    <x v="109"/>
    <n v="500.13"/>
    <x v="1"/>
    <x v="0"/>
  </r>
  <r>
    <s v="ORD-0118"/>
    <s v="2024-11-12"/>
    <x v="1"/>
    <s v="2024"/>
    <s v="Customer_047"/>
    <x v="0"/>
    <x v="3"/>
    <s v="Rajasthan"/>
    <x v="3"/>
    <s v="Smart TV"/>
    <n v="1"/>
    <n v="32000"/>
    <x v="2"/>
    <x v="42"/>
    <n v="3640.49"/>
    <x v="1"/>
    <x v="0"/>
  </r>
  <r>
    <s v="ORD-0119"/>
    <s v="2024-06-07"/>
    <x v="2"/>
    <s v="2024"/>
    <s v="Customer_043"/>
    <x v="1"/>
    <x v="0"/>
    <s v="Punjab"/>
    <x v="2"/>
    <s v="Flour Pack"/>
    <n v="7"/>
    <n v="120"/>
    <x v="3"/>
    <x v="110"/>
    <n v="68.03"/>
    <x v="1"/>
    <x v="0"/>
  </r>
  <r>
    <s v="ORD-0120"/>
    <s v="2024-11-26"/>
    <x v="1"/>
    <s v="2024"/>
    <s v="Customer_014"/>
    <x v="1"/>
    <x v="0"/>
    <s v="Delhi"/>
    <x v="4"/>
    <s v="Badminton Set"/>
    <n v="4"/>
    <n v="950"/>
    <x v="2"/>
    <x v="53"/>
    <n v="597.80999999999995"/>
    <x v="0"/>
    <x v="0"/>
  </r>
  <r>
    <s v="ORD-0121"/>
    <s v="2024-11-17"/>
    <x v="1"/>
    <s v="2024"/>
    <s v="Customer_097"/>
    <x v="2"/>
    <x v="2"/>
    <s v="Karnataka"/>
    <x v="4"/>
    <s v="Football"/>
    <n v="2"/>
    <n v="800"/>
    <x v="0"/>
    <x v="55"/>
    <n v="512.01"/>
    <x v="1"/>
    <x v="0"/>
  </r>
  <r>
    <s v="ORD-0122"/>
    <s v="2024-11-19"/>
    <x v="1"/>
    <s v="2024"/>
    <s v="Customer_076"/>
    <x v="2"/>
    <x v="3"/>
    <s v="Rajasthan"/>
    <x v="0"/>
    <s v="Study Table"/>
    <n v="8"/>
    <n v="5500"/>
    <x v="1"/>
    <x v="111"/>
    <n v="9090.7800000000007"/>
    <x v="1"/>
    <x v="0"/>
  </r>
  <r>
    <s v="ORD-0123"/>
    <s v="2024-05-26"/>
    <x v="9"/>
    <s v="2024"/>
    <s v="Customer_012"/>
    <x v="0"/>
    <x v="0"/>
    <s v="Haryana"/>
    <x v="2"/>
    <s v="Spices Kit"/>
    <n v="1"/>
    <n v="150"/>
    <x v="1"/>
    <x v="112"/>
    <n v="26.93"/>
    <x v="0"/>
    <x v="0"/>
  </r>
  <r>
    <s v="ORD-0124"/>
    <s v="2024-10-19"/>
    <x v="6"/>
    <s v="2024"/>
    <s v="Customer_078"/>
    <x v="2"/>
    <x v="3"/>
    <s v="Goa"/>
    <x v="4"/>
    <s v="Badminton Set"/>
    <n v="1"/>
    <n v="950"/>
    <x v="4"/>
    <x v="113"/>
    <n v="262.8"/>
    <x v="0"/>
    <x v="0"/>
  </r>
  <r>
    <s v="ORD-0125"/>
    <s v="2024-03-29"/>
    <x v="10"/>
    <s v="2024"/>
    <s v="Customer_091"/>
    <x v="1"/>
    <x v="2"/>
    <s v="Tamil Nadu"/>
    <x v="2"/>
    <s v="Rice (5kg)"/>
    <n v="6"/>
    <n v="350"/>
    <x v="1"/>
    <x v="114"/>
    <n v="454.08"/>
    <x v="0"/>
    <x v="0"/>
  </r>
  <r>
    <s v="ORD-0126"/>
    <s v="2024-06-22"/>
    <x v="2"/>
    <s v="2024"/>
    <s v="Customer_083"/>
    <x v="0"/>
    <x v="3"/>
    <s v="Gujarat"/>
    <x v="0"/>
    <s v="Bookshelf"/>
    <n v="5"/>
    <n v="3200"/>
    <x v="4"/>
    <x v="115"/>
    <n v="2589"/>
    <x v="0"/>
    <x v="0"/>
  </r>
  <r>
    <s v="ORD-0127"/>
    <s v="2024-12-02"/>
    <x v="0"/>
    <s v="2024"/>
    <s v="Customer_011"/>
    <x v="2"/>
    <x v="1"/>
    <s v="West Bengal"/>
    <x v="4"/>
    <s v="Dumbbells"/>
    <n v="5"/>
    <n v="1200"/>
    <x v="2"/>
    <x v="116"/>
    <n v="1487.2"/>
    <x v="0"/>
    <x v="0"/>
  </r>
  <r>
    <s v="ORD-0128"/>
    <s v="2024-02-13"/>
    <x v="8"/>
    <s v="2024"/>
    <s v="Customer_049"/>
    <x v="0"/>
    <x v="2"/>
    <s v="Kerala"/>
    <x v="0"/>
    <s v="Sofa"/>
    <n v="3"/>
    <n v="22000"/>
    <x v="3"/>
    <x v="117"/>
    <n v="14329.14"/>
    <x v="1"/>
    <x v="0"/>
  </r>
  <r>
    <s v="ORD-0129"/>
    <s v="2024-07-04"/>
    <x v="3"/>
    <s v="2024"/>
    <s v="Customer_028"/>
    <x v="1"/>
    <x v="1"/>
    <s v="Odisha"/>
    <x v="4"/>
    <s v="Cricket Bat"/>
    <n v="7"/>
    <n v="1500"/>
    <x v="3"/>
    <x v="23"/>
    <n v="1492.63"/>
    <x v="1"/>
    <x v="0"/>
  </r>
  <r>
    <s v="ORD-0130"/>
    <s v="2024-02-21"/>
    <x v="8"/>
    <s v="2024"/>
    <s v="Customer_044"/>
    <x v="0"/>
    <x v="3"/>
    <s v="Gujarat"/>
    <x v="1"/>
    <s v="Jeans"/>
    <n v="3"/>
    <n v="1299"/>
    <x v="1"/>
    <x v="118"/>
    <n v="622.99"/>
    <x v="0"/>
    <x v="1"/>
  </r>
  <r>
    <s v="ORD-0131"/>
    <s v="2024-03-25"/>
    <x v="10"/>
    <s v="2024"/>
    <s v="Customer_053"/>
    <x v="1"/>
    <x v="2"/>
    <s v="Andhra Pradesh"/>
    <x v="1"/>
    <s v="Jeans"/>
    <n v="3"/>
    <n v="1299"/>
    <x v="3"/>
    <x v="119"/>
    <n v="930.42"/>
    <x v="1"/>
    <x v="0"/>
  </r>
  <r>
    <s v="ORD-0132"/>
    <s v="2024-06-07"/>
    <x v="2"/>
    <s v="2024"/>
    <s v="Customer_048"/>
    <x v="1"/>
    <x v="2"/>
    <s v="Andhra Pradesh"/>
    <x v="4"/>
    <s v="Yoga Mat"/>
    <n v="8"/>
    <n v="600"/>
    <x v="0"/>
    <x v="120"/>
    <n v="1022.27"/>
    <x v="1"/>
    <x v="0"/>
  </r>
  <r>
    <s v="ORD-0133"/>
    <s v="2024-03-23"/>
    <x v="10"/>
    <s v="2024"/>
    <s v="Customer_018"/>
    <x v="0"/>
    <x v="3"/>
    <s v="Goa"/>
    <x v="0"/>
    <s v="Sofa"/>
    <n v="9"/>
    <n v="22000"/>
    <x v="3"/>
    <x v="121"/>
    <n v="30577.29"/>
    <x v="0"/>
    <x v="1"/>
  </r>
  <r>
    <s v="ORD-0134"/>
    <s v="2024-05-25"/>
    <x v="9"/>
    <s v="2024"/>
    <s v="Customer_035"/>
    <x v="1"/>
    <x v="0"/>
    <s v="Uttar Pradesh"/>
    <x v="0"/>
    <s v="Bed Frame"/>
    <n v="2"/>
    <n v="18000"/>
    <x v="3"/>
    <x v="42"/>
    <n v="8922.67"/>
    <x v="0"/>
    <x v="0"/>
  </r>
  <r>
    <s v="ORD-0135"/>
    <s v="2024-07-31"/>
    <x v="3"/>
    <s v="2024"/>
    <s v="Customer_065"/>
    <x v="2"/>
    <x v="2"/>
    <s v="Andhra Pradesh"/>
    <x v="3"/>
    <s v="Laptop"/>
    <n v="8"/>
    <n v="45000"/>
    <x v="2"/>
    <x v="78"/>
    <n v="107317.68"/>
    <x v="0"/>
    <x v="0"/>
  </r>
  <r>
    <s v="ORD-0136"/>
    <s v="2024-11-28"/>
    <x v="1"/>
    <s v="2024"/>
    <s v="Customer_018"/>
    <x v="1"/>
    <x v="3"/>
    <s v="Maharashtra"/>
    <x v="0"/>
    <s v="Study Table"/>
    <n v="1"/>
    <n v="5500"/>
    <x v="2"/>
    <x v="122"/>
    <n v="1640.05"/>
    <x v="1"/>
    <x v="0"/>
  </r>
  <r>
    <s v="ORD-0137"/>
    <s v="2024-01-10"/>
    <x v="11"/>
    <s v="2024"/>
    <s v="Customer_020"/>
    <x v="1"/>
    <x v="3"/>
    <s v="Gujarat"/>
    <x v="2"/>
    <s v="Spices Kit"/>
    <n v="10"/>
    <n v="150"/>
    <x v="1"/>
    <x v="123"/>
    <n v="486.87"/>
    <x v="1"/>
    <x v="0"/>
  </r>
  <r>
    <s v="ORD-0138"/>
    <s v="2024-08-02"/>
    <x v="7"/>
    <s v="2024"/>
    <s v="Customer_015"/>
    <x v="1"/>
    <x v="3"/>
    <s v="Maharashtra"/>
    <x v="0"/>
    <s v="Study Table"/>
    <n v="5"/>
    <n v="5500"/>
    <x v="1"/>
    <x v="124"/>
    <n v="2554.54"/>
    <x v="1"/>
    <x v="0"/>
  </r>
  <r>
    <s v="ORD-0139"/>
    <s v="2024-01-01"/>
    <x v="11"/>
    <s v="2024"/>
    <s v="Customer_074"/>
    <x v="1"/>
    <x v="3"/>
    <s v="Maharashtra"/>
    <x v="4"/>
    <s v="Badminton Set"/>
    <n v="4"/>
    <n v="950"/>
    <x v="0"/>
    <x v="125"/>
    <n v="572.70000000000005"/>
    <x v="1"/>
    <x v="0"/>
  </r>
  <r>
    <s v="ORD-0140"/>
    <s v="2024-09-16"/>
    <x v="5"/>
    <s v="2024"/>
    <s v="Customer_061"/>
    <x v="2"/>
    <x v="0"/>
    <s v="Haryana"/>
    <x v="3"/>
    <s v="Tablet"/>
    <n v="9"/>
    <n v="15000"/>
    <x v="3"/>
    <x v="126"/>
    <n v="31571.78"/>
    <x v="0"/>
    <x v="0"/>
  </r>
  <r>
    <s v="ORD-0141"/>
    <s v="2024-12-02"/>
    <x v="0"/>
    <s v="2024"/>
    <s v="Customer_095"/>
    <x v="0"/>
    <x v="3"/>
    <s v="Rajasthan"/>
    <x v="0"/>
    <s v="Office Chair"/>
    <n v="6"/>
    <n v="8500"/>
    <x v="1"/>
    <x v="105"/>
    <n v="8827.93"/>
    <x v="0"/>
    <x v="0"/>
  </r>
  <r>
    <s v="ORD-0142"/>
    <s v="2024-12-16"/>
    <x v="0"/>
    <s v="2024"/>
    <s v="Customer_062"/>
    <x v="0"/>
    <x v="2"/>
    <s v="Tamil Nadu"/>
    <x v="0"/>
    <s v="Bed Frame"/>
    <n v="6"/>
    <n v="18000"/>
    <x v="0"/>
    <x v="127"/>
    <n v="31211.29"/>
    <x v="1"/>
    <x v="0"/>
  </r>
  <r>
    <s v="ORD-0143"/>
    <s v="2024-04-12"/>
    <x v="4"/>
    <s v="2024"/>
    <s v="Customer_040"/>
    <x v="2"/>
    <x v="2"/>
    <s v="Tamil Nadu"/>
    <x v="2"/>
    <s v="Rice (5kg)"/>
    <n v="5"/>
    <n v="350"/>
    <x v="0"/>
    <x v="128"/>
    <n v="152.66"/>
    <x v="0"/>
    <x v="0"/>
  </r>
  <r>
    <s v="ORD-0144"/>
    <s v="2024-01-25"/>
    <x v="11"/>
    <s v="2024"/>
    <s v="Customer_016"/>
    <x v="2"/>
    <x v="3"/>
    <s v="Rajasthan"/>
    <x v="3"/>
    <s v="Laptop"/>
    <n v="5"/>
    <n v="45000"/>
    <x v="2"/>
    <x v="129"/>
    <n v="63337.42"/>
    <x v="1"/>
    <x v="0"/>
  </r>
  <r>
    <s v="ORD-0145"/>
    <s v="2024-09-11"/>
    <x v="5"/>
    <s v="2024"/>
    <s v="Customer_035"/>
    <x v="0"/>
    <x v="3"/>
    <s v="Goa"/>
    <x v="2"/>
    <s v="Spices Kit"/>
    <n v="6"/>
    <n v="150"/>
    <x v="0"/>
    <x v="130"/>
    <n v="182.95"/>
    <x v="1"/>
    <x v="0"/>
  </r>
  <r>
    <s v="ORD-0146"/>
    <s v="2024-02-22"/>
    <x v="8"/>
    <s v="2024"/>
    <s v="Customer_085"/>
    <x v="2"/>
    <x v="3"/>
    <s v="Maharashtra"/>
    <x v="2"/>
    <s v="Flour Pack"/>
    <n v="3"/>
    <n v="120"/>
    <x v="3"/>
    <x v="50"/>
    <n v="45.88"/>
    <x v="0"/>
    <x v="0"/>
  </r>
  <r>
    <s v="ORD-0147"/>
    <s v="2024-06-29"/>
    <x v="2"/>
    <s v="2024"/>
    <s v="Customer_082"/>
    <x v="2"/>
    <x v="3"/>
    <s v="Goa"/>
    <x v="1"/>
    <s v="Saree"/>
    <n v="6"/>
    <n v="2499"/>
    <x v="4"/>
    <x v="131"/>
    <n v="1165.3399999999999"/>
    <x v="1"/>
    <x v="1"/>
  </r>
  <r>
    <s v="ORD-0148"/>
    <s v="2024-03-14"/>
    <x v="10"/>
    <s v="2024"/>
    <s v="Customer_017"/>
    <x v="1"/>
    <x v="0"/>
    <s v="Delhi"/>
    <x v="2"/>
    <s v="Oil Can"/>
    <n v="9"/>
    <n v="220"/>
    <x v="0"/>
    <x v="132"/>
    <n v="634.37"/>
    <x v="1"/>
    <x v="0"/>
  </r>
  <r>
    <s v="ORD-0149"/>
    <s v="2024-08-18"/>
    <x v="7"/>
    <s v="2024"/>
    <s v="Customer_057"/>
    <x v="2"/>
    <x v="1"/>
    <s v="Bihar"/>
    <x v="2"/>
    <s v="Flour Pack"/>
    <n v="1"/>
    <n v="120"/>
    <x v="3"/>
    <x v="133"/>
    <n v="11.66"/>
    <x v="1"/>
    <x v="0"/>
  </r>
  <r>
    <s v="ORD-0150"/>
    <s v="2024-01-14"/>
    <x v="11"/>
    <s v="2024"/>
    <s v="Customer_067"/>
    <x v="2"/>
    <x v="2"/>
    <s v="Kerala"/>
    <x v="2"/>
    <s v="Oil Can"/>
    <n v="5"/>
    <n v="220"/>
    <x v="0"/>
    <x v="2"/>
    <n v="354.61"/>
    <x v="0"/>
    <x v="0"/>
  </r>
  <r>
    <s v="ORD-0151"/>
    <s v="2024-09-08"/>
    <x v="5"/>
    <s v="2024"/>
    <s v="Customer_018"/>
    <x v="1"/>
    <x v="0"/>
    <s v="Haryana"/>
    <x v="0"/>
    <s v="Sofa"/>
    <n v="4"/>
    <n v="22000"/>
    <x v="3"/>
    <x v="134"/>
    <n v="11060.25"/>
    <x v="0"/>
    <x v="1"/>
  </r>
  <r>
    <s v="ORD-0152"/>
    <s v="2024-10-08"/>
    <x v="6"/>
    <s v="2024"/>
    <s v="Customer_021"/>
    <x v="2"/>
    <x v="3"/>
    <s v="Gujarat"/>
    <x v="2"/>
    <s v="Rice (5kg)"/>
    <n v="6"/>
    <n v="350"/>
    <x v="2"/>
    <x v="44"/>
    <n v="513.28"/>
    <x v="1"/>
    <x v="0"/>
  </r>
  <r>
    <s v="ORD-0153"/>
    <s v="2024-05-01"/>
    <x v="9"/>
    <s v="2024"/>
    <s v="Customer_047"/>
    <x v="1"/>
    <x v="2"/>
    <s v="Kerala"/>
    <x v="4"/>
    <s v="Football"/>
    <n v="2"/>
    <n v="800"/>
    <x v="0"/>
    <x v="55"/>
    <n v="446.66"/>
    <x v="1"/>
    <x v="0"/>
  </r>
  <r>
    <s v="ORD-0154"/>
    <s v="2024-07-22"/>
    <x v="3"/>
    <s v="2024"/>
    <s v="Customer_053"/>
    <x v="0"/>
    <x v="1"/>
    <s v="Jharkhand"/>
    <x v="4"/>
    <s v="Football"/>
    <n v="10"/>
    <n v="800"/>
    <x v="1"/>
    <x v="135"/>
    <n v="782.02"/>
    <x v="1"/>
    <x v="0"/>
  </r>
  <r>
    <s v="ORD-0155"/>
    <s v="2024-06-25"/>
    <x v="2"/>
    <s v="2024"/>
    <s v="Customer_082"/>
    <x v="0"/>
    <x v="0"/>
    <s v="Punjab"/>
    <x v="0"/>
    <s v="Office Chair"/>
    <n v="8"/>
    <n v="8500"/>
    <x v="4"/>
    <x v="136"/>
    <n v="15237.78"/>
    <x v="0"/>
    <x v="0"/>
  </r>
  <r>
    <s v="ORD-0156"/>
    <s v="2024-03-25"/>
    <x v="10"/>
    <s v="2024"/>
    <s v="Customer_091"/>
    <x v="2"/>
    <x v="2"/>
    <s v="Andhra Pradesh"/>
    <x v="4"/>
    <s v="Cricket Bat"/>
    <n v="2"/>
    <n v="1500"/>
    <x v="3"/>
    <x v="10"/>
    <n v="291.14999999999998"/>
    <x v="0"/>
    <x v="0"/>
  </r>
  <r>
    <s v="ORD-0157"/>
    <s v="2024-06-04"/>
    <x v="2"/>
    <s v="2024"/>
    <s v="Customer_083"/>
    <x v="0"/>
    <x v="1"/>
    <s v="West Bengal"/>
    <x v="0"/>
    <s v="Study Table"/>
    <n v="9"/>
    <n v="5500"/>
    <x v="2"/>
    <x v="137"/>
    <n v="5069.6099999999997"/>
    <x v="0"/>
    <x v="0"/>
  </r>
  <r>
    <s v="ORD-0158"/>
    <s v="2024-01-15"/>
    <x v="11"/>
    <s v="2024"/>
    <s v="Customer_083"/>
    <x v="1"/>
    <x v="2"/>
    <s v="Karnataka"/>
    <x v="4"/>
    <s v="Badminton Set"/>
    <n v="6"/>
    <n v="950"/>
    <x v="3"/>
    <x v="120"/>
    <n v="415.52"/>
    <x v="0"/>
    <x v="0"/>
  </r>
  <r>
    <s v="ORD-0159"/>
    <s v="2024-11-17"/>
    <x v="1"/>
    <s v="2024"/>
    <s v="Customer_039"/>
    <x v="0"/>
    <x v="1"/>
    <s v="Odisha"/>
    <x v="4"/>
    <s v="Dumbbells"/>
    <n v="10"/>
    <n v="1200"/>
    <x v="1"/>
    <x v="138"/>
    <n v="2573.64"/>
    <x v="1"/>
    <x v="0"/>
  </r>
  <r>
    <s v="ORD-0160"/>
    <s v="2024-09-04"/>
    <x v="5"/>
    <s v="2024"/>
    <s v="Customer_044"/>
    <x v="1"/>
    <x v="3"/>
    <s v="Rajasthan"/>
    <x v="2"/>
    <s v="Rice (5kg)"/>
    <n v="1"/>
    <n v="350"/>
    <x v="0"/>
    <x v="139"/>
    <n v="66.069999999999993"/>
    <x v="1"/>
    <x v="0"/>
  </r>
  <r>
    <s v="ORD-0161"/>
    <s v="2024-02-24"/>
    <x v="8"/>
    <s v="2024"/>
    <s v="Customer_060"/>
    <x v="1"/>
    <x v="1"/>
    <s v="Bihar"/>
    <x v="0"/>
    <s v="Sofa"/>
    <n v="3"/>
    <n v="22000"/>
    <x v="2"/>
    <x v="140"/>
    <n v="13011.25"/>
    <x v="1"/>
    <x v="0"/>
  </r>
  <r>
    <s v="ORD-0162"/>
    <s v="2024-11-11"/>
    <x v="1"/>
    <s v="2024"/>
    <s v="Customer_021"/>
    <x v="1"/>
    <x v="3"/>
    <s v="Gujarat"/>
    <x v="1"/>
    <s v="T-Shirt"/>
    <n v="1"/>
    <n v="499"/>
    <x v="2"/>
    <x v="141"/>
    <n v="150.56"/>
    <x v="1"/>
    <x v="0"/>
  </r>
  <r>
    <s v="ORD-0163"/>
    <s v="2024-06-06"/>
    <x v="2"/>
    <s v="2024"/>
    <s v="Customer_012"/>
    <x v="1"/>
    <x v="1"/>
    <s v="Odisha"/>
    <x v="1"/>
    <s v="Saree"/>
    <n v="9"/>
    <n v="2499"/>
    <x v="4"/>
    <x v="142"/>
    <n v="4103.83"/>
    <x v="1"/>
    <x v="1"/>
  </r>
  <r>
    <s v="ORD-0164"/>
    <s v="2024-09-10"/>
    <x v="5"/>
    <s v="2024"/>
    <s v="Customer_069"/>
    <x v="2"/>
    <x v="3"/>
    <s v="Gujarat"/>
    <x v="1"/>
    <s v="Jacket"/>
    <n v="6"/>
    <n v="1999"/>
    <x v="1"/>
    <x v="143"/>
    <n v="1123.19"/>
    <x v="1"/>
    <x v="0"/>
  </r>
  <r>
    <s v="ORD-0165"/>
    <s v="2024-07-24"/>
    <x v="3"/>
    <s v="2024"/>
    <s v="Customer_072"/>
    <x v="0"/>
    <x v="0"/>
    <s v="Uttar Pradesh"/>
    <x v="1"/>
    <s v="Kurta"/>
    <n v="6"/>
    <n v="799"/>
    <x v="4"/>
    <x v="144"/>
    <n v="728.6"/>
    <x v="0"/>
    <x v="0"/>
  </r>
  <r>
    <s v="ORD-0166"/>
    <s v="2024-11-15"/>
    <x v="1"/>
    <s v="2024"/>
    <s v="Customer_013"/>
    <x v="1"/>
    <x v="1"/>
    <s v="West Bengal"/>
    <x v="2"/>
    <s v="Flour Pack"/>
    <n v="8"/>
    <n v="120"/>
    <x v="3"/>
    <x v="145"/>
    <n v="119.44"/>
    <x v="0"/>
    <x v="0"/>
  </r>
  <r>
    <s v="ORD-0167"/>
    <s v="2024-01-21"/>
    <x v="11"/>
    <s v="2024"/>
    <s v="Customer_018"/>
    <x v="1"/>
    <x v="1"/>
    <s v="Bihar"/>
    <x v="1"/>
    <s v="Jeans"/>
    <n v="10"/>
    <n v="1299"/>
    <x v="3"/>
    <x v="146"/>
    <n v="1957.59"/>
    <x v="0"/>
    <x v="0"/>
  </r>
  <r>
    <s v="ORD-0168"/>
    <s v="2024-11-09"/>
    <x v="1"/>
    <s v="2024"/>
    <s v="Customer_051"/>
    <x v="1"/>
    <x v="3"/>
    <s v="Goa"/>
    <x v="1"/>
    <s v="Jacket"/>
    <n v="9"/>
    <n v="1999"/>
    <x v="0"/>
    <x v="147"/>
    <n v="2880.78"/>
    <x v="1"/>
    <x v="1"/>
  </r>
  <r>
    <s v="ORD-0169"/>
    <s v="2024-06-02"/>
    <x v="2"/>
    <s v="2024"/>
    <s v="Customer_048"/>
    <x v="1"/>
    <x v="1"/>
    <s v="Bihar"/>
    <x v="4"/>
    <s v="Badminton Set"/>
    <n v="9"/>
    <n v="950"/>
    <x v="4"/>
    <x v="148"/>
    <n v="1972.11"/>
    <x v="1"/>
    <x v="0"/>
  </r>
  <r>
    <s v="ORD-0170"/>
    <s v="2024-12-01"/>
    <x v="0"/>
    <s v="2024"/>
    <s v="Customer_007"/>
    <x v="0"/>
    <x v="0"/>
    <s v="Uttar Pradesh"/>
    <x v="4"/>
    <s v="Yoga Mat"/>
    <n v="1"/>
    <n v="600"/>
    <x v="3"/>
    <x v="149"/>
    <n v="99.91"/>
    <x v="0"/>
    <x v="0"/>
  </r>
  <r>
    <s v="ORD-0171"/>
    <s v="2024-02-26"/>
    <x v="8"/>
    <s v="2024"/>
    <s v="Customer_057"/>
    <x v="1"/>
    <x v="2"/>
    <s v="Andhra Pradesh"/>
    <x v="1"/>
    <s v="Jeans"/>
    <n v="1"/>
    <n v="1299"/>
    <x v="3"/>
    <x v="48"/>
    <n v="349.19"/>
    <x v="0"/>
    <x v="0"/>
  </r>
  <r>
    <s v="ORD-0172"/>
    <s v="2024-02-01"/>
    <x v="8"/>
    <s v="2024"/>
    <s v="Customer_027"/>
    <x v="0"/>
    <x v="2"/>
    <s v="Andhra Pradesh"/>
    <x v="1"/>
    <s v="Saree"/>
    <n v="9"/>
    <n v="2499"/>
    <x v="3"/>
    <x v="41"/>
    <n v="5911.37"/>
    <x v="0"/>
    <x v="0"/>
  </r>
  <r>
    <s v="ORD-0173"/>
    <s v="2024-06-30"/>
    <x v="2"/>
    <s v="2024"/>
    <s v="Customer_062"/>
    <x v="0"/>
    <x v="3"/>
    <s v="Goa"/>
    <x v="0"/>
    <s v="Study Table"/>
    <n v="8"/>
    <n v="5500"/>
    <x v="3"/>
    <x v="150"/>
    <n v="6069.48"/>
    <x v="1"/>
    <x v="0"/>
  </r>
  <r>
    <s v="ORD-0174"/>
    <s v="2024-12-26"/>
    <x v="0"/>
    <s v="2024"/>
    <s v="Customer_091"/>
    <x v="0"/>
    <x v="2"/>
    <s v="Kerala"/>
    <x v="4"/>
    <s v="Yoga Mat"/>
    <n v="4"/>
    <n v="600"/>
    <x v="2"/>
    <x v="151"/>
    <n v="622.54999999999995"/>
    <x v="0"/>
    <x v="0"/>
  </r>
  <r>
    <s v="ORD-0175"/>
    <s v="2024-10-05"/>
    <x v="6"/>
    <s v="2024"/>
    <s v="Customer_045"/>
    <x v="2"/>
    <x v="3"/>
    <s v="Rajasthan"/>
    <x v="4"/>
    <s v="Yoga Mat"/>
    <n v="5"/>
    <n v="600"/>
    <x v="1"/>
    <x v="152"/>
    <n v="704.52"/>
    <x v="1"/>
    <x v="1"/>
  </r>
  <r>
    <s v="ORD-0176"/>
    <s v="2024-12-01"/>
    <x v="0"/>
    <s v="2024"/>
    <s v="Customer_062"/>
    <x v="0"/>
    <x v="2"/>
    <s v="Kerala"/>
    <x v="3"/>
    <s v="Headphones"/>
    <n v="2"/>
    <n v="2500"/>
    <x v="2"/>
    <x v="153"/>
    <n v="1482.67"/>
    <x v="1"/>
    <x v="0"/>
  </r>
  <r>
    <s v="ORD-0177"/>
    <s v="2024-01-26"/>
    <x v="11"/>
    <s v="2024"/>
    <s v="Customer_030"/>
    <x v="0"/>
    <x v="1"/>
    <s v="Bihar"/>
    <x v="1"/>
    <s v="T-Shirt"/>
    <n v="10"/>
    <n v="499"/>
    <x v="3"/>
    <x v="154"/>
    <n v="577.27"/>
    <x v="0"/>
    <x v="0"/>
  </r>
  <r>
    <s v="ORD-0178"/>
    <s v="2024-03-21"/>
    <x v="10"/>
    <s v="2024"/>
    <s v="Customer_061"/>
    <x v="0"/>
    <x v="3"/>
    <s v="Rajasthan"/>
    <x v="2"/>
    <s v="Rice (5kg)"/>
    <n v="3"/>
    <n v="350"/>
    <x v="1"/>
    <x v="90"/>
    <n v="357.44"/>
    <x v="1"/>
    <x v="0"/>
  </r>
  <r>
    <s v="ORD-0179"/>
    <s v="2024-04-28"/>
    <x v="4"/>
    <s v="2024"/>
    <s v="Customer_054"/>
    <x v="1"/>
    <x v="2"/>
    <s v="Kerala"/>
    <x v="0"/>
    <s v="Bookshelf"/>
    <n v="1"/>
    <n v="3200"/>
    <x v="1"/>
    <x v="155"/>
    <n v="819.59"/>
    <x v="0"/>
    <x v="1"/>
  </r>
  <r>
    <s v="ORD-0180"/>
    <s v="2024-01-05"/>
    <x v="11"/>
    <s v="2024"/>
    <s v="Customer_078"/>
    <x v="0"/>
    <x v="2"/>
    <s v="Tamil Nadu"/>
    <x v="2"/>
    <s v="Spices Kit"/>
    <n v="3"/>
    <n v="150"/>
    <x v="2"/>
    <x v="156"/>
    <n v="128.27000000000001"/>
    <x v="1"/>
    <x v="0"/>
  </r>
  <r>
    <s v="ORD-0181"/>
    <s v="2024-03-09"/>
    <x v="10"/>
    <s v="2024"/>
    <s v="Customer_025"/>
    <x v="2"/>
    <x v="1"/>
    <s v="Bihar"/>
    <x v="2"/>
    <s v="Flour Pack"/>
    <n v="9"/>
    <n v="120"/>
    <x v="4"/>
    <x v="157"/>
    <n v="293.85000000000002"/>
    <x v="1"/>
    <x v="0"/>
  </r>
  <r>
    <s v="ORD-0182"/>
    <s v="2024-05-31"/>
    <x v="9"/>
    <s v="2024"/>
    <s v="Customer_079"/>
    <x v="1"/>
    <x v="1"/>
    <s v="Odisha"/>
    <x v="2"/>
    <s v="Oil Can"/>
    <n v="3"/>
    <n v="220"/>
    <x v="1"/>
    <x v="158"/>
    <n v="184.07"/>
    <x v="0"/>
    <x v="1"/>
  </r>
  <r>
    <s v="ORD-0183"/>
    <s v="2024-04-04"/>
    <x v="4"/>
    <s v="2024"/>
    <s v="Customer_042"/>
    <x v="2"/>
    <x v="3"/>
    <s v="Goa"/>
    <x v="4"/>
    <s v="Yoga Mat"/>
    <n v="2"/>
    <n v="600"/>
    <x v="4"/>
    <x v="159"/>
    <n v="265.91000000000003"/>
    <x v="0"/>
    <x v="1"/>
  </r>
  <r>
    <s v="ORD-0184"/>
    <s v="2024-06-03"/>
    <x v="2"/>
    <s v="2024"/>
    <s v="Customer_084"/>
    <x v="2"/>
    <x v="0"/>
    <s v="Haryana"/>
    <x v="2"/>
    <s v="Dal Pack"/>
    <n v="8"/>
    <n v="180"/>
    <x v="2"/>
    <x v="160"/>
    <n v="437.52"/>
    <x v="0"/>
    <x v="0"/>
  </r>
  <r>
    <s v="ORD-0185"/>
    <s v="2024-09-14"/>
    <x v="5"/>
    <s v="2024"/>
    <s v="Customer_016"/>
    <x v="0"/>
    <x v="2"/>
    <s v="Tamil Nadu"/>
    <x v="3"/>
    <s v="Smart TV"/>
    <n v="5"/>
    <n v="32000"/>
    <x v="0"/>
    <x v="161"/>
    <n v="28798.3"/>
    <x v="1"/>
    <x v="0"/>
  </r>
  <r>
    <s v="ORD-0186"/>
    <s v="2024-08-20"/>
    <x v="7"/>
    <s v="2024"/>
    <s v="Customer_090"/>
    <x v="2"/>
    <x v="1"/>
    <s v="Bihar"/>
    <x v="4"/>
    <s v="Football"/>
    <n v="4"/>
    <n v="800"/>
    <x v="0"/>
    <x v="162"/>
    <n v="635.69000000000005"/>
    <x v="1"/>
    <x v="0"/>
  </r>
  <r>
    <s v="ORD-0187"/>
    <s v="2024-12-26"/>
    <x v="0"/>
    <s v="2024"/>
    <s v="Customer_073"/>
    <x v="1"/>
    <x v="3"/>
    <s v="Gujarat"/>
    <x v="1"/>
    <s v="Jacket"/>
    <n v="2"/>
    <n v="1999"/>
    <x v="3"/>
    <x v="163"/>
    <n v="641.66999999999996"/>
    <x v="1"/>
    <x v="0"/>
  </r>
  <r>
    <s v="ORD-0188"/>
    <s v="2024-04-15"/>
    <x v="4"/>
    <s v="2024"/>
    <s v="Customer_066"/>
    <x v="1"/>
    <x v="2"/>
    <s v="Karnataka"/>
    <x v="1"/>
    <s v="Kurta"/>
    <n v="9"/>
    <n v="799"/>
    <x v="4"/>
    <x v="164"/>
    <n v="680.82"/>
    <x v="1"/>
    <x v="0"/>
  </r>
  <r>
    <s v="ORD-0189"/>
    <s v="2024-10-13"/>
    <x v="6"/>
    <s v="2024"/>
    <s v="Customer_040"/>
    <x v="0"/>
    <x v="0"/>
    <s v="Uttar Pradesh"/>
    <x v="1"/>
    <s v="Jacket"/>
    <n v="7"/>
    <n v="1999"/>
    <x v="4"/>
    <x v="165"/>
    <n v="2762.46"/>
    <x v="1"/>
    <x v="0"/>
  </r>
  <r>
    <s v="ORD-0190"/>
    <s v="2024-06-25"/>
    <x v="2"/>
    <s v="2024"/>
    <s v="Customer_008"/>
    <x v="0"/>
    <x v="3"/>
    <s v="Rajasthan"/>
    <x v="3"/>
    <s v="Laptop"/>
    <n v="10"/>
    <n v="45000"/>
    <x v="1"/>
    <x v="13"/>
    <n v="41502.71"/>
    <x v="0"/>
    <x v="1"/>
  </r>
  <r>
    <s v="ORD-0191"/>
    <s v="2024-11-24"/>
    <x v="1"/>
    <s v="2024"/>
    <s v="Customer_049"/>
    <x v="2"/>
    <x v="0"/>
    <s v="Uttar Pradesh"/>
    <x v="3"/>
    <s v="Headphones"/>
    <n v="7"/>
    <n v="2500"/>
    <x v="0"/>
    <x v="166"/>
    <n v="4781.72"/>
    <x v="1"/>
    <x v="0"/>
  </r>
  <r>
    <s v="ORD-0192"/>
    <s v="2024-10-02"/>
    <x v="6"/>
    <s v="2024"/>
    <s v="Customer_017"/>
    <x v="0"/>
    <x v="3"/>
    <s v="Goa"/>
    <x v="3"/>
    <s v="Tablet"/>
    <n v="3"/>
    <n v="15000"/>
    <x v="2"/>
    <x v="167"/>
    <n v="4537.25"/>
    <x v="1"/>
    <x v="0"/>
  </r>
  <r>
    <s v="ORD-0193"/>
    <s v="2024-07-13"/>
    <x v="3"/>
    <s v="2024"/>
    <s v="Customer_059"/>
    <x v="1"/>
    <x v="2"/>
    <s v="Tamil Nadu"/>
    <x v="3"/>
    <s v="Headphones"/>
    <n v="8"/>
    <n v="2500"/>
    <x v="3"/>
    <x v="168"/>
    <n v="3112.23"/>
    <x v="0"/>
    <x v="0"/>
  </r>
  <r>
    <s v="ORD-0194"/>
    <s v="2024-01-09"/>
    <x v="11"/>
    <s v="2024"/>
    <s v="Customer_009"/>
    <x v="1"/>
    <x v="1"/>
    <s v="Odisha"/>
    <x v="3"/>
    <s v="Smartphone"/>
    <n v="7"/>
    <n v="18000"/>
    <x v="3"/>
    <x v="169"/>
    <n v="28912.91"/>
    <x v="0"/>
    <x v="0"/>
  </r>
  <r>
    <s v="ORD-0195"/>
    <s v="2024-04-29"/>
    <x v="4"/>
    <s v="2024"/>
    <s v="Customer_018"/>
    <x v="1"/>
    <x v="0"/>
    <s v="Uttar Pradesh"/>
    <x v="4"/>
    <s v="Cricket Bat"/>
    <n v="4"/>
    <n v="1500"/>
    <x v="1"/>
    <x v="101"/>
    <n v="1131.67"/>
    <x v="0"/>
    <x v="0"/>
  </r>
  <r>
    <s v="ORD-0196"/>
    <s v="2024-06-13"/>
    <x v="2"/>
    <s v="2024"/>
    <s v="Customer_019"/>
    <x v="2"/>
    <x v="1"/>
    <s v="Odisha"/>
    <x v="4"/>
    <s v="Yoga Mat"/>
    <n v="10"/>
    <n v="600"/>
    <x v="3"/>
    <x v="63"/>
    <n v="1385.21"/>
    <x v="0"/>
    <x v="1"/>
  </r>
  <r>
    <s v="ORD-0197"/>
    <s v="2024-03-30"/>
    <x v="10"/>
    <s v="2024"/>
    <s v="Customer_064"/>
    <x v="0"/>
    <x v="2"/>
    <s v="Andhra Pradesh"/>
    <x v="0"/>
    <s v="Bookshelf"/>
    <n v="1"/>
    <n v="3200"/>
    <x v="3"/>
    <x v="170"/>
    <n v="860.42"/>
    <x v="1"/>
    <x v="0"/>
  </r>
  <r>
    <s v="ORD-0198"/>
    <s v="2024-07-11"/>
    <x v="3"/>
    <s v="2024"/>
    <s v="Customer_061"/>
    <x v="0"/>
    <x v="1"/>
    <s v="Jharkhand"/>
    <x v="4"/>
    <s v="Yoga Mat"/>
    <n v="7"/>
    <n v="600"/>
    <x v="4"/>
    <x v="171"/>
    <n v="429.43"/>
    <x v="0"/>
    <x v="0"/>
  </r>
  <r>
    <s v="ORD-0199"/>
    <s v="2024-08-01"/>
    <x v="7"/>
    <s v="2024"/>
    <s v="Customer_032"/>
    <x v="2"/>
    <x v="2"/>
    <s v="Kerala"/>
    <x v="1"/>
    <s v="Saree"/>
    <n v="1"/>
    <n v="2499"/>
    <x v="3"/>
    <x v="172"/>
    <n v="382.69"/>
    <x v="0"/>
    <x v="0"/>
  </r>
  <r>
    <s v="ORD-0200"/>
    <s v="2024-04-07"/>
    <x v="4"/>
    <s v="2024"/>
    <s v="Customer_049"/>
    <x v="2"/>
    <x v="1"/>
    <s v="West Bengal"/>
    <x v="2"/>
    <s v="Oil Can"/>
    <n v="2"/>
    <n v="220"/>
    <x v="3"/>
    <x v="173"/>
    <n v="97.02"/>
    <x v="0"/>
    <x v="0"/>
  </r>
  <r>
    <s v="ORD-0201"/>
    <s v="2024-06-19"/>
    <x v="2"/>
    <s v="2024"/>
    <s v="Customer_028"/>
    <x v="1"/>
    <x v="0"/>
    <s v="Delhi"/>
    <x v="1"/>
    <s v="Jacket"/>
    <n v="9"/>
    <n v="1999"/>
    <x v="0"/>
    <x v="147"/>
    <n v="3579.57"/>
    <x v="1"/>
    <x v="1"/>
  </r>
  <r>
    <s v="ORD-0202"/>
    <s v="2024-10-09"/>
    <x v="6"/>
    <s v="2024"/>
    <s v="Customer_049"/>
    <x v="2"/>
    <x v="0"/>
    <s v="Uttar Pradesh"/>
    <x v="1"/>
    <s v="Jacket"/>
    <n v="4"/>
    <n v="1999"/>
    <x v="4"/>
    <x v="174"/>
    <n v="2223.06"/>
    <x v="1"/>
    <x v="0"/>
  </r>
  <r>
    <s v="ORD-0203"/>
    <s v="2024-08-28"/>
    <x v="7"/>
    <s v="2024"/>
    <s v="Customer_048"/>
    <x v="1"/>
    <x v="1"/>
    <s v="Bihar"/>
    <x v="0"/>
    <s v="Bookshelf"/>
    <n v="9"/>
    <n v="3200"/>
    <x v="4"/>
    <x v="175"/>
    <n v="5038.5"/>
    <x v="1"/>
    <x v="0"/>
  </r>
  <r>
    <s v="ORD-0204"/>
    <s v="2024-10-23"/>
    <x v="6"/>
    <s v="2024"/>
    <s v="Customer_020"/>
    <x v="2"/>
    <x v="0"/>
    <s v="Punjab"/>
    <x v="1"/>
    <s v="T-Shirt"/>
    <n v="5"/>
    <n v="499"/>
    <x v="3"/>
    <x v="176"/>
    <n v="663.44"/>
    <x v="1"/>
    <x v="0"/>
  </r>
  <r>
    <s v="ORD-0205"/>
    <s v="2024-12-16"/>
    <x v="0"/>
    <s v="2024"/>
    <s v="Customer_098"/>
    <x v="2"/>
    <x v="2"/>
    <s v="Andhra Pradesh"/>
    <x v="4"/>
    <s v="Football"/>
    <n v="8"/>
    <n v="800"/>
    <x v="3"/>
    <x v="177"/>
    <n v="1314.53"/>
    <x v="1"/>
    <x v="0"/>
  </r>
  <r>
    <s v="ORD-0206"/>
    <s v="2024-09-07"/>
    <x v="5"/>
    <s v="2024"/>
    <s v="Customer_083"/>
    <x v="0"/>
    <x v="3"/>
    <s v="Goa"/>
    <x v="1"/>
    <s v="Kurta"/>
    <n v="3"/>
    <n v="799"/>
    <x v="0"/>
    <x v="178"/>
    <n v="625.04"/>
    <x v="0"/>
    <x v="1"/>
  </r>
  <r>
    <s v="ORD-0207"/>
    <s v="2024-04-28"/>
    <x v="4"/>
    <s v="2024"/>
    <s v="Customer_020"/>
    <x v="0"/>
    <x v="0"/>
    <s v="Delhi"/>
    <x v="3"/>
    <s v="Smartphone"/>
    <n v="7"/>
    <n v="18000"/>
    <x v="0"/>
    <x v="179"/>
    <n v="36806.199999999997"/>
    <x v="0"/>
    <x v="0"/>
  </r>
  <r>
    <s v="ORD-0208"/>
    <s v="2024-01-09"/>
    <x v="11"/>
    <s v="2024"/>
    <s v="Customer_071"/>
    <x v="0"/>
    <x v="3"/>
    <s v="Rajasthan"/>
    <x v="3"/>
    <s v="Tablet"/>
    <n v="10"/>
    <n v="15000"/>
    <x v="4"/>
    <x v="180"/>
    <n v="32895.86"/>
    <x v="0"/>
    <x v="0"/>
  </r>
  <r>
    <s v="ORD-0209"/>
    <s v="2024-12-11"/>
    <x v="0"/>
    <s v="2024"/>
    <s v="Customer_014"/>
    <x v="1"/>
    <x v="0"/>
    <s v="Haryana"/>
    <x v="4"/>
    <s v="Yoga Mat"/>
    <n v="1"/>
    <n v="600"/>
    <x v="3"/>
    <x v="149"/>
    <n v="143.79"/>
    <x v="1"/>
    <x v="1"/>
  </r>
  <r>
    <s v="ORD-0210"/>
    <s v="2024-05-16"/>
    <x v="9"/>
    <s v="2024"/>
    <s v="Customer_048"/>
    <x v="1"/>
    <x v="2"/>
    <s v="Karnataka"/>
    <x v="1"/>
    <s v="Jacket"/>
    <n v="9"/>
    <n v="1999"/>
    <x v="2"/>
    <x v="181"/>
    <n v="4859.32"/>
    <x v="1"/>
    <x v="1"/>
  </r>
  <r>
    <s v="ORD-0211"/>
    <s v="2024-07-13"/>
    <x v="3"/>
    <s v="2024"/>
    <s v="Customer_061"/>
    <x v="0"/>
    <x v="3"/>
    <s v="Gujarat"/>
    <x v="1"/>
    <s v="Kurta"/>
    <n v="2"/>
    <n v="799"/>
    <x v="1"/>
    <x v="182"/>
    <n v="168.18"/>
    <x v="1"/>
    <x v="0"/>
  </r>
  <r>
    <s v="ORD-0212"/>
    <s v="2024-02-18"/>
    <x v="8"/>
    <s v="2024"/>
    <s v="Customer_028"/>
    <x v="1"/>
    <x v="0"/>
    <s v="Punjab"/>
    <x v="3"/>
    <s v="Smart TV"/>
    <n v="7"/>
    <n v="32000"/>
    <x v="2"/>
    <x v="183"/>
    <n v="46928.71"/>
    <x v="0"/>
    <x v="1"/>
  </r>
  <r>
    <s v="ORD-0213"/>
    <s v="2024-01-17"/>
    <x v="11"/>
    <s v="2024"/>
    <s v="Customer_003"/>
    <x v="2"/>
    <x v="3"/>
    <s v="Rajasthan"/>
    <x v="3"/>
    <s v="Smartphone"/>
    <n v="5"/>
    <n v="18000"/>
    <x v="3"/>
    <x v="16"/>
    <n v="16714.63"/>
    <x v="0"/>
    <x v="1"/>
  </r>
  <r>
    <s v="ORD-0214"/>
    <s v="2024-07-18"/>
    <x v="3"/>
    <s v="2024"/>
    <s v="Customer_097"/>
    <x v="2"/>
    <x v="2"/>
    <s v="Andhra Pradesh"/>
    <x v="3"/>
    <s v="Headphones"/>
    <n v="3"/>
    <n v="2500"/>
    <x v="3"/>
    <x v="101"/>
    <n v="869.56"/>
    <x v="1"/>
    <x v="0"/>
  </r>
  <r>
    <s v="ORD-0215"/>
    <s v="2024-06-23"/>
    <x v="2"/>
    <s v="2024"/>
    <s v="Customer_004"/>
    <x v="2"/>
    <x v="0"/>
    <s v="Haryana"/>
    <x v="3"/>
    <s v="Smartphone"/>
    <n v="7"/>
    <n v="18000"/>
    <x v="0"/>
    <x v="179"/>
    <n v="36681.129999999997"/>
    <x v="1"/>
    <x v="0"/>
  </r>
  <r>
    <s v="ORD-0216"/>
    <s v="2024-12-14"/>
    <x v="0"/>
    <s v="2024"/>
    <s v="Customer_099"/>
    <x v="1"/>
    <x v="3"/>
    <s v="Goa"/>
    <x v="1"/>
    <s v="Kurta"/>
    <n v="9"/>
    <n v="799"/>
    <x v="4"/>
    <x v="164"/>
    <n v="1201.68"/>
    <x v="1"/>
    <x v="0"/>
  </r>
  <r>
    <s v="ORD-0217"/>
    <s v="2024-11-20"/>
    <x v="1"/>
    <s v="2024"/>
    <s v="Customer_050"/>
    <x v="0"/>
    <x v="2"/>
    <s v="Tamil Nadu"/>
    <x v="3"/>
    <s v="Headphones"/>
    <n v="3"/>
    <n v="2500"/>
    <x v="4"/>
    <x v="184"/>
    <n v="1734.97"/>
    <x v="0"/>
    <x v="0"/>
  </r>
  <r>
    <s v="ORD-0218"/>
    <s v="2024-02-22"/>
    <x v="8"/>
    <s v="2024"/>
    <s v="Customer_024"/>
    <x v="1"/>
    <x v="0"/>
    <s v="Delhi"/>
    <x v="3"/>
    <s v="Headphones"/>
    <n v="8"/>
    <n v="2500"/>
    <x v="2"/>
    <x v="38"/>
    <n v="5140.1400000000003"/>
    <x v="0"/>
    <x v="0"/>
  </r>
  <r>
    <s v="ORD-0219"/>
    <s v="2024-11-02"/>
    <x v="1"/>
    <s v="2024"/>
    <s v="Customer_002"/>
    <x v="2"/>
    <x v="3"/>
    <s v="Maharashtra"/>
    <x v="3"/>
    <s v="Smartphone"/>
    <n v="6"/>
    <n v="18000"/>
    <x v="3"/>
    <x v="185"/>
    <n v="9083"/>
    <x v="1"/>
    <x v="0"/>
  </r>
  <r>
    <s v="ORD-0220"/>
    <s v="2024-07-13"/>
    <x v="3"/>
    <s v="2024"/>
    <s v="Customer_035"/>
    <x v="1"/>
    <x v="3"/>
    <s v="Maharashtra"/>
    <x v="4"/>
    <s v="Football"/>
    <n v="10"/>
    <n v="800"/>
    <x v="3"/>
    <x v="17"/>
    <n v="805.04"/>
    <x v="0"/>
    <x v="0"/>
  </r>
  <r>
    <s v="ORD-0221"/>
    <s v="2024-09-04"/>
    <x v="5"/>
    <s v="2024"/>
    <s v="Customer_033"/>
    <x v="2"/>
    <x v="3"/>
    <s v="Gujarat"/>
    <x v="3"/>
    <s v="Laptop"/>
    <n v="7"/>
    <n v="45000"/>
    <x v="2"/>
    <x v="186"/>
    <n v="54913.279999999999"/>
    <x v="0"/>
    <x v="1"/>
  </r>
  <r>
    <s v="ORD-0222"/>
    <s v="2024-07-21"/>
    <x v="3"/>
    <s v="2024"/>
    <s v="Customer_049"/>
    <x v="0"/>
    <x v="3"/>
    <s v="Gujarat"/>
    <x v="2"/>
    <s v="Rice (5kg)"/>
    <n v="3"/>
    <n v="350"/>
    <x v="2"/>
    <x v="187"/>
    <n v="77.33"/>
    <x v="1"/>
    <x v="0"/>
  </r>
  <r>
    <s v="ORD-0223"/>
    <s v="2024-11-04"/>
    <x v="1"/>
    <s v="2024"/>
    <s v="Customer_041"/>
    <x v="2"/>
    <x v="1"/>
    <s v="Jharkhand"/>
    <x v="0"/>
    <s v="Sofa"/>
    <n v="10"/>
    <n v="22000"/>
    <x v="0"/>
    <x v="188"/>
    <n v="33673.56"/>
    <x v="0"/>
    <x v="0"/>
  </r>
  <r>
    <s v="ORD-0224"/>
    <s v="2024-05-23"/>
    <x v="9"/>
    <s v="2024"/>
    <s v="Customer_015"/>
    <x v="2"/>
    <x v="3"/>
    <s v="Rajasthan"/>
    <x v="0"/>
    <s v="Sofa"/>
    <n v="10"/>
    <n v="22000"/>
    <x v="0"/>
    <x v="188"/>
    <n v="35109.760000000002"/>
    <x v="1"/>
    <x v="1"/>
  </r>
  <r>
    <s v="ORD-0225"/>
    <s v="2024-05-29"/>
    <x v="9"/>
    <s v="2024"/>
    <s v="Customer_087"/>
    <x v="2"/>
    <x v="2"/>
    <s v="Karnataka"/>
    <x v="4"/>
    <s v="Cricket Bat"/>
    <n v="8"/>
    <n v="1500"/>
    <x v="0"/>
    <x v="189"/>
    <n v="2261.56"/>
    <x v="0"/>
    <x v="0"/>
  </r>
  <r>
    <s v="ORD-0226"/>
    <s v="2024-11-02"/>
    <x v="1"/>
    <s v="2024"/>
    <s v="Customer_052"/>
    <x v="0"/>
    <x v="1"/>
    <s v="Odisha"/>
    <x v="0"/>
    <s v="Study Table"/>
    <n v="7"/>
    <n v="5500"/>
    <x v="4"/>
    <x v="190"/>
    <n v="3271.54"/>
    <x v="1"/>
    <x v="0"/>
  </r>
  <r>
    <s v="ORD-0227"/>
    <s v="2024-05-07"/>
    <x v="9"/>
    <s v="2024"/>
    <s v="Customer_083"/>
    <x v="1"/>
    <x v="3"/>
    <s v="Maharashtra"/>
    <x v="0"/>
    <s v="Bed Frame"/>
    <n v="10"/>
    <n v="18000"/>
    <x v="1"/>
    <x v="191"/>
    <n v="19715.349999999999"/>
    <x v="1"/>
    <x v="0"/>
  </r>
  <r>
    <s v="ORD-0228"/>
    <s v="2024-09-18"/>
    <x v="5"/>
    <s v="2024"/>
    <s v="Customer_048"/>
    <x v="2"/>
    <x v="3"/>
    <s v="Rajasthan"/>
    <x v="2"/>
    <s v="Rice (5kg)"/>
    <n v="1"/>
    <n v="350"/>
    <x v="1"/>
    <x v="192"/>
    <n v="52.45"/>
    <x v="0"/>
    <x v="0"/>
  </r>
  <r>
    <s v="ORD-0229"/>
    <s v="2024-02-13"/>
    <x v="8"/>
    <s v="2024"/>
    <s v="Customer_019"/>
    <x v="0"/>
    <x v="2"/>
    <s v="Kerala"/>
    <x v="3"/>
    <s v="Smart TV"/>
    <n v="2"/>
    <n v="32000"/>
    <x v="2"/>
    <x v="193"/>
    <n v="11077.25"/>
    <x v="0"/>
    <x v="0"/>
  </r>
  <r>
    <s v="ORD-0230"/>
    <s v="2024-08-12"/>
    <x v="7"/>
    <s v="2024"/>
    <s v="Customer_009"/>
    <x v="2"/>
    <x v="1"/>
    <s v="Jharkhand"/>
    <x v="1"/>
    <s v="Jacket"/>
    <n v="8"/>
    <n v="1999"/>
    <x v="2"/>
    <x v="194"/>
    <n v="3001.82"/>
    <x v="1"/>
    <x v="0"/>
  </r>
  <r>
    <s v="ORD-0231"/>
    <s v="2024-10-09"/>
    <x v="6"/>
    <s v="2024"/>
    <s v="Customer_072"/>
    <x v="2"/>
    <x v="0"/>
    <s v="Delhi"/>
    <x v="0"/>
    <s v="Office Chair"/>
    <n v="3"/>
    <n v="8500"/>
    <x v="0"/>
    <x v="195"/>
    <n v="5312.99"/>
    <x v="0"/>
    <x v="0"/>
  </r>
  <r>
    <s v="ORD-0232"/>
    <s v="2024-11-10"/>
    <x v="1"/>
    <s v="2024"/>
    <s v="Customer_076"/>
    <x v="2"/>
    <x v="3"/>
    <s v="Gujarat"/>
    <x v="2"/>
    <s v="Dal Pack"/>
    <n v="3"/>
    <n v="180"/>
    <x v="4"/>
    <x v="196"/>
    <n v="85.74"/>
    <x v="0"/>
    <x v="0"/>
  </r>
  <r>
    <s v="ORD-0233"/>
    <s v="2024-10-01"/>
    <x v="6"/>
    <s v="2024"/>
    <s v="Customer_042"/>
    <x v="2"/>
    <x v="0"/>
    <s v="Punjab"/>
    <x v="1"/>
    <s v="Kurta"/>
    <n v="2"/>
    <n v="799"/>
    <x v="3"/>
    <x v="197"/>
    <n v="137.38999999999999"/>
    <x v="0"/>
    <x v="0"/>
  </r>
  <r>
    <s v="ORD-0234"/>
    <s v="2024-07-19"/>
    <x v="3"/>
    <s v="2024"/>
    <s v="Customer_046"/>
    <x v="2"/>
    <x v="0"/>
    <s v="Haryana"/>
    <x v="2"/>
    <s v="Flour Pack"/>
    <n v="6"/>
    <n v="120"/>
    <x v="3"/>
    <x v="198"/>
    <n v="106.52"/>
    <x v="0"/>
    <x v="0"/>
  </r>
  <r>
    <s v="ORD-0235"/>
    <s v="2024-05-02"/>
    <x v="9"/>
    <s v="2024"/>
    <s v="Customer_024"/>
    <x v="1"/>
    <x v="2"/>
    <s v="Kerala"/>
    <x v="4"/>
    <s v="Badminton Set"/>
    <n v="2"/>
    <n v="950"/>
    <x v="0"/>
    <x v="199"/>
    <n v="297.02999999999997"/>
    <x v="1"/>
    <x v="0"/>
  </r>
  <r>
    <s v="ORD-0236"/>
    <s v="2024-04-05"/>
    <x v="4"/>
    <s v="2024"/>
    <s v="Customer_069"/>
    <x v="0"/>
    <x v="2"/>
    <s v="Andhra Pradesh"/>
    <x v="2"/>
    <s v="Flour Pack"/>
    <n v="3"/>
    <n v="120"/>
    <x v="3"/>
    <x v="50"/>
    <n v="52.88"/>
    <x v="1"/>
    <x v="0"/>
  </r>
  <r>
    <s v="ORD-0237"/>
    <s v="2024-08-18"/>
    <x v="7"/>
    <s v="2024"/>
    <s v="Customer_002"/>
    <x v="2"/>
    <x v="2"/>
    <s v="Karnataka"/>
    <x v="2"/>
    <s v="Oil Can"/>
    <n v="3"/>
    <n v="220"/>
    <x v="0"/>
    <x v="200"/>
    <n v="103.42"/>
    <x v="0"/>
    <x v="0"/>
  </r>
  <r>
    <s v="ORD-0238"/>
    <s v="2024-07-31"/>
    <x v="3"/>
    <s v="2024"/>
    <s v="Customer_022"/>
    <x v="2"/>
    <x v="2"/>
    <s v="Andhra Pradesh"/>
    <x v="4"/>
    <s v="Badminton Set"/>
    <n v="8"/>
    <n v="950"/>
    <x v="4"/>
    <x v="201"/>
    <n v="1711.05"/>
    <x v="1"/>
    <x v="0"/>
  </r>
  <r>
    <s v="ORD-0239"/>
    <s v="2024-03-27"/>
    <x v="10"/>
    <s v="2024"/>
    <s v="Customer_096"/>
    <x v="0"/>
    <x v="0"/>
    <s v="Punjab"/>
    <x v="0"/>
    <s v="Office Chair"/>
    <n v="5"/>
    <n v="8500"/>
    <x v="0"/>
    <x v="202"/>
    <n v="9090.61"/>
    <x v="1"/>
    <x v="0"/>
  </r>
  <r>
    <s v="ORD-0240"/>
    <s v="2024-07-06"/>
    <x v="3"/>
    <s v="2024"/>
    <s v="Customer_057"/>
    <x v="0"/>
    <x v="3"/>
    <s v="Maharashtra"/>
    <x v="4"/>
    <s v="Cricket Bat"/>
    <n v="5"/>
    <n v="1500"/>
    <x v="3"/>
    <x v="101"/>
    <n v="1813.72"/>
    <x v="0"/>
    <x v="0"/>
  </r>
  <r>
    <s v="ORD-0241"/>
    <s v="2024-02-14"/>
    <x v="8"/>
    <s v="2024"/>
    <s v="Customer_100"/>
    <x v="1"/>
    <x v="3"/>
    <s v="Maharashtra"/>
    <x v="1"/>
    <s v="Kurta"/>
    <n v="1"/>
    <n v="799"/>
    <x v="4"/>
    <x v="203"/>
    <n v="102.52"/>
    <x v="1"/>
    <x v="0"/>
  </r>
  <r>
    <s v="ORD-0242"/>
    <s v="2024-04-15"/>
    <x v="4"/>
    <s v="2024"/>
    <s v="Customer_073"/>
    <x v="1"/>
    <x v="2"/>
    <s v="Kerala"/>
    <x v="4"/>
    <s v="Dumbbells"/>
    <n v="3"/>
    <n v="1200"/>
    <x v="3"/>
    <x v="204"/>
    <n v="338.67"/>
    <x v="0"/>
    <x v="0"/>
  </r>
  <r>
    <s v="ORD-0243"/>
    <s v="2024-09-20"/>
    <x v="5"/>
    <s v="2024"/>
    <s v="Customer_097"/>
    <x v="1"/>
    <x v="1"/>
    <s v="Odisha"/>
    <x v="0"/>
    <s v="Bookshelf"/>
    <n v="5"/>
    <n v="3200"/>
    <x v="3"/>
    <x v="205"/>
    <n v="1947.94"/>
    <x v="0"/>
    <x v="0"/>
  </r>
  <r>
    <s v="ORD-0244"/>
    <s v="2024-05-06"/>
    <x v="9"/>
    <s v="2024"/>
    <s v="Customer_019"/>
    <x v="2"/>
    <x v="0"/>
    <s v="Haryana"/>
    <x v="1"/>
    <s v="Jeans"/>
    <n v="4"/>
    <n v="1299"/>
    <x v="0"/>
    <x v="206"/>
    <n v="1343.02"/>
    <x v="1"/>
    <x v="0"/>
  </r>
  <r>
    <s v="ORD-0245"/>
    <s v="2024-05-22"/>
    <x v="9"/>
    <s v="2024"/>
    <s v="Customer_063"/>
    <x v="2"/>
    <x v="1"/>
    <s v="Jharkhand"/>
    <x v="2"/>
    <s v="Spices Kit"/>
    <n v="2"/>
    <n v="150"/>
    <x v="1"/>
    <x v="207"/>
    <n v="56.63"/>
    <x v="1"/>
    <x v="0"/>
  </r>
  <r>
    <s v="ORD-0246"/>
    <s v="2024-08-07"/>
    <x v="7"/>
    <s v="2024"/>
    <s v="Customer_035"/>
    <x v="2"/>
    <x v="0"/>
    <s v="Delhi"/>
    <x v="2"/>
    <s v="Oil Can"/>
    <n v="2"/>
    <n v="220"/>
    <x v="3"/>
    <x v="173"/>
    <n v="65.959999999999994"/>
    <x v="0"/>
    <x v="0"/>
  </r>
  <r>
    <s v="ORD-0247"/>
    <s v="2024-06-24"/>
    <x v="2"/>
    <s v="2024"/>
    <s v="Customer_013"/>
    <x v="1"/>
    <x v="1"/>
    <s v="Bihar"/>
    <x v="4"/>
    <s v="Badminton Set"/>
    <n v="3"/>
    <n v="950"/>
    <x v="3"/>
    <x v="15"/>
    <n v="707.15"/>
    <x v="0"/>
    <x v="0"/>
  </r>
  <r>
    <s v="ORD-0248"/>
    <s v="2024-08-07"/>
    <x v="7"/>
    <s v="2024"/>
    <s v="Customer_017"/>
    <x v="0"/>
    <x v="3"/>
    <s v="Maharashtra"/>
    <x v="3"/>
    <s v="Laptop"/>
    <n v="8"/>
    <n v="45000"/>
    <x v="4"/>
    <x v="208"/>
    <n v="24535.85"/>
    <x v="0"/>
    <x v="1"/>
  </r>
  <r>
    <s v="ORD-0249"/>
    <s v="2024-12-06"/>
    <x v="0"/>
    <s v="2024"/>
    <s v="Customer_051"/>
    <x v="1"/>
    <x v="1"/>
    <s v="Odisha"/>
    <x v="0"/>
    <s v="Office Chair"/>
    <n v="6"/>
    <n v="8500"/>
    <x v="2"/>
    <x v="209"/>
    <n v="4693.4399999999996"/>
    <x v="0"/>
    <x v="0"/>
  </r>
  <r>
    <s v="ORD-0250"/>
    <s v="2024-03-08"/>
    <x v="10"/>
    <s v="2024"/>
    <s v="Customer_088"/>
    <x v="0"/>
    <x v="2"/>
    <s v="Andhra Pradesh"/>
    <x v="3"/>
    <s v="Smartphone"/>
    <n v="1"/>
    <n v="18000"/>
    <x v="0"/>
    <x v="210"/>
    <n v="3569.42"/>
    <x v="0"/>
    <x v="0"/>
  </r>
  <r>
    <s v="ORD-0251"/>
    <s v="2024-07-15"/>
    <x v="3"/>
    <s v="2024"/>
    <s v="Customer_014"/>
    <x v="0"/>
    <x v="0"/>
    <s v="Haryana"/>
    <x v="3"/>
    <s v="Smart TV"/>
    <n v="3"/>
    <n v="32000"/>
    <x v="4"/>
    <x v="211"/>
    <n v="8088.49"/>
    <x v="0"/>
    <x v="0"/>
  </r>
  <r>
    <s v="ORD-0252"/>
    <s v="2024-10-15"/>
    <x v="6"/>
    <s v="2024"/>
    <s v="Customer_084"/>
    <x v="0"/>
    <x v="1"/>
    <s v="Bihar"/>
    <x v="1"/>
    <s v="Saree"/>
    <n v="3"/>
    <n v="2499"/>
    <x v="0"/>
    <x v="212"/>
    <n v="701.33"/>
    <x v="0"/>
    <x v="0"/>
  </r>
  <r>
    <s v="ORD-0253"/>
    <s v="2024-02-14"/>
    <x v="8"/>
    <s v="2024"/>
    <s v="Customer_097"/>
    <x v="1"/>
    <x v="1"/>
    <s v="Odisha"/>
    <x v="1"/>
    <s v="Saree"/>
    <n v="10"/>
    <n v="2499"/>
    <x v="4"/>
    <x v="213"/>
    <n v="6631.38"/>
    <x v="0"/>
    <x v="0"/>
  </r>
  <r>
    <s v="ORD-0254"/>
    <s v="2024-02-13"/>
    <x v="8"/>
    <s v="2024"/>
    <s v="Customer_077"/>
    <x v="0"/>
    <x v="3"/>
    <s v="Rajasthan"/>
    <x v="2"/>
    <s v="Oil Can"/>
    <n v="3"/>
    <n v="220"/>
    <x v="0"/>
    <x v="200"/>
    <n v="97.05"/>
    <x v="0"/>
    <x v="0"/>
  </r>
  <r>
    <s v="ORD-0255"/>
    <s v="2024-07-19"/>
    <x v="3"/>
    <s v="2024"/>
    <s v="Customer_007"/>
    <x v="0"/>
    <x v="1"/>
    <s v="West Bengal"/>
    <x v="0"/>
    <s v="Study Table"/>
    <n v="9"/>
    <n v="5500"/>
    <x v="3"/>
    <x v="214"/>
    <n v="8615.82"/>
    <x v="1"/>
    <x v="0"/>
  </r>
  <r>
    <s v="ORD-0256"/>
    <s v="2024-02-06"/>
    <x v="8"/>
    <s v="2024"/>
    <s v="Customer_041"/>
    <x v="2"/>
    <x v="2"/>
    <s v="Andhra Pradesh"/>
    <x v="2"/>
    <s v="Rice (5kg)"/>
    <n v="4"/>
    <n v="350"/>
    <x v="4"/>
    <x v="215"/>
    <n v="300.22000000000003"/>
    <x v="0"/>
    <x v="0"/>
  </r>
  <r>
    <s v="ORD-0257"/>
    <s v="2024-02-04"/>
    <x v="8"/>
    <s v="2024"/>
    <s v="Customer_028"/>
    <x v="2"/>
    <x v="3"/>
    <s v="Rajasthan"/>
    <x v="4"/>
    <s v="Football"/>
    <n v="8"/>
    <n v="800"/>
    <x v="1"/>
    <x v="17"/>
    <n v="540.84"/>
    <x v="0"/>
    <x v="0"/>
  </r>
  <r>
    <s v="ORD-0258"/>
    <s v="2024-07-24"/>
    <x v="3"/>
    <s v="2024"/>
    <s v="Customer_069"/>
    <x v="0"/>
    <x v="0"/>
    <s v="Uttar Pradesh"/>
    <x v="4"/>
    <s v="Yoga Mat"/>
    <n v="9"/>
    <n v="600"/>
    <x v="4"/>
    <x v="216"/>
    <n v="892.14"/>
    <x v="0"/>
    <x v="0"/>
  </r>
  <r>
    <s v="ORD-0259"/>
    <s v="2024-03-20"/>
    <x v="10"/>
    <s v="2024"/>
    <s v="Customer_076"/>
    <x v="2"/>
    <x v="2"/>
    <s v="Kerala"/>
    <x v="3"/>
    <s v="Headphones"/>
    <n v="2"/>
    <n v="2500"/>
    <x v="3"/>
    <x v="217"/>
    <n v="1314.6"/>
    <x v="1"/>
    <x v="0"/>
  </r>
  <r>
    <s v="ORD-0260"/>
    <s v="2024-08-10"/>
    <x v="7"/>
    <s v="2024"/>
    <s v="Customer_079"/>
    <x v="2"/>
    <x v="0"/>
    <s v="Haryana"/>
    <x v="2"/>
    <s v="Dal Pack"/>
    <n v="1"/>
    <n v="180"/>
    <x v="0"/>
    <x v="218"/>
    <n v="17.66"/>
    <x v="0"/>
    <x v="0"/>
  </r>
  <r>
    <s v="ORD-0261"/>
    <s v="2024-06-26"/>
    <x v="2"/>
    <s v="2024"/>
    <s v="Customer_048"/>
    <x v="1"/>
    <x v="1"/>
    <s v="Odisha"/>
    <x v="3"/>
    <s v="Smartphone"/>
    <n v="3"/>
    <n v="18000"/>
    <x v="1"/>
    <x v="98"/>
    <n v="6708.68"/>
    <x v="1"/>
    <x v="0"/>
  </r>
  <r>
    <s v="ORD-0262"/>
    <s v="2024-05-14"/>
    <x v="9"/>
    <s v="2024"/>
    <s v="Customer_059"/>
    <x v="2"/>
    <x v="1"/>
    <s v="West Bengal"/>
    <x v="3"/>
    <s v="Headphones"/>
    <n v="7"/>
    <n v="2500"/>
    <x v="2"/>
    <x v="75"/>
    <n v="3487.69"/>
    <x v="0"/>
    <x v="0"/>
  </r>
  <r>
    <s v="ORD-0263"/>
    <s v="2024-02-22"/>
    <x v="8"/>
    <s v="2024"/>
    <s v="Customer_095"/>
    <x v="1"/>
    <x v="0"/>
    <s v="Uttar Pradesh"/>
    <x v="4"/>
    <s v="Football"/>
    <n v="6"/>
    <n v="800"/>
    <x v="0"/>
    <x v="120"/>
    <n v="678.9"/>
    <x v="0"/>
    <x v="0"/>
  </r>
  <r>
    <s v="ORD-0264"/>
    <s v="2024-03-17"/>
    <x v="10"/>
    <s v="2024"/>
    <s v="Customer_071"/>
    <x v="1"/>
    <x v="0"/>
    <s v="Delhi"/>
    <x v="1"/>
    <s v="T-Shirt"/>
    <n v="8"/>
    <n v="499"/>
    <x v="2"/>
    <x v="219"/>
    <n v="658.94"/>
    <x v="0"/>
    <x v="0"/>
  </r>
  <r>
    <s v="ORD-0265"/>
    <s v="2024-02-09"/>
    <x v="8"/>
    <s v="2024"/>
    <s v="Customer_065"/>
    <x v="1"/>
    <x v="3"/>
    <s v="Gujarat"/>
    <x v="0"/>
    <s v="Study Table"/>
    <n v="7"/>
    <n v="5500"/>
    <x v="2"/>
    <x v="220"/>
    <n v="5309.75"/>
    <x v="1"/>
    <x v="0"/>
  </r>
  <r>
    <s v="ORD-0266"/>
    <s v="2024-08-26"/>
    <x v="7"/>
    <s v="2024"/>
    <s v="Customer_042"/>
    <x v="2"/>
    <x v="0"/>
    <s v="Punjab"/>
    <x v="1"/>
    <s v="Jacket"/>
    <n v="1"/>
    <n v="1999"/>
    <x v="4"/>
    <x v="221"/>
    <n v="167.55"/>
    <x v="1"/>
    <x v="0"/>
  </r>
  <r>
    <s v="ORD-0267"/>
    <s v="2024-11-14"/>
    <x v="1"/>
    <s v="2024"/>
    <s v="Customer_048"/>
    <x v="2"/>
    <x v="3"/>
    <s v="Maharashtra"/>
    <x v="0"/>
    <s v="Study Table"/>
    <n v="5"/>
    <n v="5500"/>
    <x v="3"/>
    <x v="29"/>
    <n v="6419.97"/>
    <x v="0"/>
    <x v="0"/>
  </r>
  <r>
    <s v="ORD-0268"/>
    <s v="2024-01-13"/>
    <x v="11"/>
    <s v="2024"/>
    <s v="Customer_045"/>
    <x v="0"/>
    <x v="3"/>
    <s v="Gujarat"/>
    <x v="4"/>
    <s v="Football"/>
    <n v="3"/>
    <n v="800"/>
    <x v="1"/>
    <x v="10"/>
    <n v="796.19"/>
    <x v="0"/>
    <x v="0"/>
  </r>
  <r>
    <s v="ORD-0269"/>
    <s v="2024-05-01"/>
    <x v="9"/>
    <s v="2024"/>
    <s v="Customer_008"/>
    <x v="2"/>
    <x v="0"/>
    <s v="Haryana"/>
    <x v="3"/>
    <s v="Smart TV"/>
    <n v="5"/>
    <n v="32000"/>
    <x v="1"/>
    <x v="222"/>
    <n v="21664.400000000001"/>
    <x v="1"/>
    <x v="1"/>
  </r>
  <r>
    <s v="ORD-0270"/>
    <s v="2024-07-09"/>
    <x v="3"/>
    <s v="2024"/>
    <s v="Customer_011"/>
    <x v="0"/>
    <x v="2"/>
    <s v="Kerala"/>
    <x v="3"/>
    <s v="Smartphone"/>
    <n v="4"/>
    <n v="18000"/>
    <x v="3"/>
    <x v="193"/>
    <n v="11031.86"/>
    <x v="1"/>
    <x v="0"/>
  </r>
  <r>
    <s v="ORD-0271"/>
    <s v="2024-03-07"/>
    <x v="10"/>
    <s v="2024"/>
    <s v="Customer_034"/>
    <x v="2"/>
    <x v="2"/>
    <s v="Andhra Pradesh"/>
    <x v="3"/>
    <s v="Tablet"/>
    <n v="10"/>
    <n v="15000"/>
    <x v="1"/>
    <x v="223"/>
    <n v="29616.81"/>
    <x v="0"/>
    <x v="1"/>
  </r>
  <r>
    <s v="ORD-0272"/>
    <s v="2024-04-13"/>
    <x v="4"/>
    <s v="2024"/>
    <s v="Customer_014"/>
    <x v="0"/>
    <x v="3"/>
    <s v="Rajasthan"/>
    <x v="0"/>
    <s v="Sofa"/>
    <n v="5"/>
    <n v="22000"/>
    <x v="0"/>
    <x v="224"/>
    <n v="10467.31"/>
    <x v="0"/>
    <x v="0"/>
  </r>
  <r>
    <s v="ORD-0273"/>
    <s v="2024-04-16"/>
    <x v="4"/>
    <s v="2024"/>
    <s v="Customer_060"/>
    <x v="2"/>
    <x v="2"/>
    <s v="Andhra Pradesh"/>
    <x v="2"/>
    <s v="Oil Can"/>
    <n v="7"/>
    <n v="220"/>
    <x v="1"/>
    <x v="225"/>
    <n v="346.04"/>
    <x v="1"/>
    <x v="0"/>
  </r>
  <r>
    <s v="ORD-0274"/>
    <s v="2024-06-16"/>
    <x v="2"/>
    <s v="2024"/>
    <s v="Customer_092"/>
    <x v="1"/>
    <x v="0"/>
    <s v="Delhi"/>
    <x v="1"/>
    <s v="Kurta"/>
    <n v="10"/>
    <n v="799"/>
    <x v="1"/>
    <x v="226"/>
    <n v="1103.06"/>
    <x v="0"/>
    <x v="0"/>
  </r>
  <r>
    <s v="ORD-0275"/>
    <s v="2024-03-30"/>
    <x v="10"/>
    <s v="2024"/>
    <s v="Customer_058"/>
    <x v="2"/>
    <x v="1"/>
    <s v="Jharkhand"/>
    <x v="4"/>
    <s v="Cricket Bat"/>
    <n v="5"/>
    <n v="1500"/>
    <x v="2"/>
    <x v="227"/>
    <n v="2034.61"/>
    <x v="0"/>
    <x v="0"/>
  </r>
  <r>
    <s v="ORD-0276"/>
    <s v="2024-04-23"/>
    <x v="4"/>
    <s v="2024"/>
    <s v="Customer_052"/>
    <x v="1"/>
    <x v="2"/>
    <s v="Tamil Nadu"/>
    <x v="2"/>
    <s v="Rice (5kg)"/>
    <n v="3"/>
    <n v="350"/>
    <x v="1"/>
    <x v="90"/>
    <n v="87.39"/>
    <x v="0"/>
    <x v="0"/>
  </r>
  <r>
    <s v="ORD-0277"/>
    <s v="2024-08-15"/>
    <x v="7"/>
    <s v="2024"/>
    <s v="Customer_043"/>
    <x v="1"/>
    <x v="0"/>
    <s v="Haryana"/>
    <x v="3"/>
    <s v="Smartphone"/>
    <n v="2"/>
    <n v="18000"/>
    <x v="0"/>
    <x v="9"/>
    <n v="11069.65"/>
    <x v="0"/>
    <x v="0"/>
  </r>
  <r>
    <s v="ORD-0278"/>
    <s v="2024-07-14"/>
    <x v="3"/>
    <s v="2024"/>
    <s v="Customer_046"/>
    <x v="1"/>
    <x v="3"/>
    <s v="Maharashtra"/>
    <x v="1"/>
    <s v="Jacket"/>
    <n v="7"/>
    <n v="1999"/>
    <x v="4"/>
    <x v="165"/>
    <n v="2544.7800000000002"/>
    <x v="1"/>
    <x v="0"/>
  </r>
  <r>
    <s v="ORD-0279"/>
    <s v="2024-11-11"/>
    <x v="1"/>
    <s v="2024"/>
    <s v="Customer_038"/>
    <x v="0"/>
    <x v="2"/>
    <s v="Kerala"/>
    <x v="0"/>
    <s v="Sofa"/>
    <n v="3"/>
    <n v="22000"/>
    <x v="1"/>
    <x v="228"/>
    <n v="16223.38"/>
    <x v="0"/>
    <x v="0"/>
  </r>
  <r>
    <s v="ORD-0280"/>
    <s v="2024-11-25"/>
    <x v="1"/>
    <s v="2024"/>
    <s v="Customer_070"/>
    <x v="0"/>
    <x v="3"/>
    <s v="Maharashtra"/>
    <x v="3"/>
    <s v="Headphones"/>
    <n v="7"/>
    <n v="2500"/>
    <x v="0"/>
    <x v="166"/>
    <n v="3211.84"/>
    <x v="0"/>
    <x v="0"/>
  </r>
  <r>
    <s v="ORD-0281"/>
    <s v="2024-09-14"/>
    <x v="5"/>
    <s v="2024"/>
    <s v="Customer_035"/>
    <x v="2"/>
    <x v="3"/>
    <s v="Rajasthan"/>
    <x v="2"/>
    <s v="Flour Pack"/>
    <n v="8"/>
    <n v="120"/>
    <x v="2"/>
    <x v="76"/>
    <n v="282.02999999999997"/>
    <x v="1"/>
    <x v="0"/>
  </r>
  <r>
    <s v="ORD-0282"/>
    <s v="2024-10-26"/>
    <x v="6"/>
    <s v="2024"/>
    <s v="Customer_013"/>
    <x v="1"/>
    <x v="1"/>
    <s v="Odisha"/>
    <x v="3"/>
    <s v="Headphones"/>
    <n v="1"/>
    <n v="2500"/>
    <x v="4"/>
    <x v="229"/>
    <n v="473.76"/>
    <x v="0"/>
    <x v="0"/>
  </r>
  <r>
    <s v="ORD-0283"/>
    <s v="2024-07-17"/>
    <x v="3"/>
    <s v="2024"/>
    <s v="Customer_023"/>
    <x v="1"/>
    <x v="2"/>
    <s v="Kerala"/>
    <x v="4"/>
    <s v="Cricket Bat"/>
    <n v="4"/>
    <n v="1500"/>
    <x v="3"/>
    <x v="63"/>
    <n v="1481.07"/>
    <x v="1"/>
    <x v="0"/>
  </r>
  <r>
    <s v="ORD-0284"/>
    <s v="2024-10-15"/>
    <x v="6"/>
    <s v="2024"/>
    <s v="Customer_070"/>
    <x v="2"/>
    <x v="1"/>
    <s v="Bihar"/>
    <x v="4"/>
    <s v="Cricket Bat"/>
    <n v="6"/>
    <n v="1500"/>
    <x v="3"/>
    <x v="230"/>
    <n v="1671.65"/>
    <x v="0"/>
    <x v="0"/>
  </r>
  <r>
    <s v="ORD-0285"/>
    <s v="2024-09-26"/>
    <x v="5"/>
    <s v="2024"/>
    <s v="Customer_043"/>
    <x v="1"/>
    <x v="3"/>
    <s v="Maharashtra"/>
    <x v="3"/>
    <s v="Smartphone"/>
    <n v="4"/>
    <n v="18000"/>
    <x v="3"/>
    <x v="193"/>
    <n v="8010.92"/>
    <x v="1"/>
    <x v="1"/>
  </r>
  <r>
    <s v="ORD-0286"/>
    <s v="2024-10-27"/>
    <x v="6"/>
    <s v="2024"/>
    <s v="Customer_068"/>
    <x v="1"/>
    <x v="2"/>
    <s v="Karnataka"/>
    <x v="0"/>
    <s v="Study Table"/>
    <n v="6"/>
    <n v="5500"/>
    <x v="1"/>
    <x v="231"/>
    <n v="2835.24"/>
    <x v="0"/>
    <x v="1"/>
  </r>
  <r>
    <s v="ORD-0287"/>
    <s v="2024-03-10"/>
    <x v="10"/>
    <s v="2024"/>
    <s v="Customer_056"/>
    <x v="0"/>
    <x v="0"/>
    <s v="Haryana"/>
    <x v="2"/>
    <s v="Flour Pack"/>
    <n v="2"/>
    <n v="120"/>
    <x v="2"/>
    <x v="232"/>
    <n v="34.880000000000003"/>
    <x v="0"/>
    <x v="0"/>
  </r>
  <r>
    <s v="ORD-0288"/>
    <s v="2024-10-28"/>
    <x v="6"/>
    <s v="2024"/>
    <s v="Customer_040"/>
    <x v="2"/>
    <x v="3"/>
    <s v="Rajasthan"/>
    <x v="1"/>
    <s v="Jacket"/>
    <n v="10"/>
    <n v="1999"/>
    <x v="2"/>
    <x v="12"/>
    <n v="2523.67"/>
    <x v="0"/>
    <x v="0"/>
  </r>
  <r>
    <s v="ORD-0289"/>
    <s v="2024-10-17"/>
    <x v="6"/>
    <s v="2024"/>
    <s v="Customer_078"/>
    <x v="1"/>
    <x v="1"/>
    <s v="Odisha"/>
    <x v="1"/>
    <s v="T-Shirt"/>
    <n v="10"/>
    <n v="499"/>
    <x v="4"/>
    <x v="233"/>
    <n v="1313.61"/>
    <x v="0"/>
    <x v="0"/>
  </r>
  <r>
    <s v="ORD-0290"/>
    <s v="2024-06-12"/>
    <x v="2"/>
    <s v="2024"/>
    <s v="Customer_012"/>
    <x v="0"/>
    <x v="2"/>
    <s v="Tamil Nadu"/>
    <x v="2"/>
    <s v="Dal Pack"/>
    <n v="6"/>
    <n v="180"/>
    <x v="1"/>
    <x v="103"/>
    <n v="155.80000000000001"/>
    <x v="0"/>
    <x v="0"/>
  </r>
  <r>
    <s v="ORD-0291"/>
    <s v="2024-06-28"/>
    <x v="2"/>
    <s v="2024"/>
    <s v="Customer_093"/>
    <x v="1"/>
    <x v="1"/>
    <s v="Jharkhand"/>
    <x v="3"/>
    <s v="Headphones"/>
    <n v="4"/>
    <n v="2500"/>
    <x v="0"/>
    <x v="234"/>
    <n v="2538"/>
    <x v="1"/>
    <x v="0"/>
  </r>
  <r>
    <s v="ORD-0292"/>
    <s v="2024-06-28"/>
    <x v="2"/>
    <s v="2024"/>
    <s v="Customer_062"/>
    <x v="1"/>
    <x v="3"/>
    <s v="Goa"/>
    <x v="2"/>
    <s v="Dal Pack"/>
    <n v="7"/>
    <n v="180"/>
    <x v="4"/>
    <x v="235"/>
    <n v="340.66"/>
    <x v="1"/>
    <x v="0"/>
  </r>
  <r>
    <s v="ORD-0293"/>
    <s v="2024-05-13"/>
    <x v="9"/>
    <s v="2024"/>
    <s v="Customer_044"/>
    <x v="1"/>
    <x v="2"/>
    <s v="Karnataka"/>
    <x v="2"/>
    <s v="Rice (5kg)"/>
    <n v="1"/>
    <n v="350"/>
    <x v="2"/>
    <x v="236"/>
    <n v="26.91"/>
    <x v="0"/>
    <x v="0"/>
  </r>
  <r>
    <s v="ORD-0294"/>
    <s v="2024-11-10"/>
    <x v="1"/>
    <s v="2024"/>
    <s v="Customer_004"/>
    <x v="0"/>
    <x v="3"/>
    <s v="Gujarat"/>
    <x v="3"/>
    <s v="Tablet"/>
    <n v="2"/>
    <n v="15000"/>
    <x v="2"/>
    <x v="237"/>
    <n v="6490.48"/>
    <x v="1"/>
    <x v="0"/>
  </r>
  <r>
    <s v="ORD-0295"/>
    <s v="2024-04-07"/>
    <x v="4"/>
    <s v="2024"/>
    <s v="Customer_071"/>
    <x v="0"/>
    <x v="2"/>
    <s v="Andhra Pradesh"/>
    <x v="1"/>
    <s v="T-Shirt"/>
    <n v="2"/>
    <n v="499"/>
    <x v="2"/>
    <x v="238"/>
    <n v="121.7"/>
    <x v="1"/>
    <x v="0"/>
  </r>
  <r>
    <s v="ORD-0296"/>
    <s v="2024-10-08"/>
    <x v="6"/>
    <s v="2024"/>
    <s v="Customer_007"/>
    <x v="1"/>
    <x v="1"/>
    <s v="Bihar"/>
    <x v="0"/>
    <s v="Study Table"/>
    <n v="2"/>
    <n v="5500"/>
    <x v="1"/>
    <x v="239"/>
    <n v="2046.92"/>
    <x v="1"/>
    <x v="0"/>
  </r>
  <r>
    <s v="ORD-0297"/>
    <s v="2024-04-15"/>
    <x v="4"/>
    <s v="2024"/>
    <s v="Customer_038"/>
    <x v="0"/>
    <x v="3"/>
    <s v="Maharashtra"/>
    <x v="0"/>
    <s v="Bed Frame"/>
    <n v="8"/>
    <n v="18000"/>
    <x v="0"/>
    <x v="240"/>
    <n v="14526.31"/>
    <x v="0"/>
    <x v="1"/>
  </r>
  <r>
    <s v="ORD-0298"/>
    <s v="2024-05-15"/>
    <x v="9"/>
    <s v="2024"/>
    <s v="Customer_070"/>
    <x v="0"/>
    <x v="3"/>
    <s v="Maharashtra"/>
    <x v="0"/>
    <s v="Sofa"/>
    <n v="8"/>
    <n v="22000"/>
    <x v="4"/>
    <x v="241"/>
    <n v="48113.89"/>
    <x v="0"/>
    <x v="0"/>
  </r>
  <r>
    <s v="ORD-0299"/>
    <s v="2024-08-26"/>
    <x v="7"/>
    <s v="2024"/>
    <s v="Customer_035"/>
    <x v="1"/>
    <x v="1"/>
    <s v="Jharkhand"/>
    <x v="0"/>
    <s v="Study Table"/>
    <n v="8"/>
    <n v="5500"/>
    <x v="1"/>
    <x v="111"/>
    <n v="6647.96"/>
    <x v="1"/>
    <x v="0"/>
  </r>
  <r>
    <s v="ORD-0300"/>
    <s v="2024-10-28"/>
    <x v="6"/>
    <s v="2024"/>
    <s v="Customer_008"/>
    <x v="0"/>
    <x v="2"/>
    <s v="Tamil Nadu"/>
    <x v="3"/>
    <s v="Headphones"/>
    <n v="9"/>
    <n v="2500"/>
    <x v="4"/>
    <x v="242"/>
    <n v="6542.48"/>
    <x v="0"/>
    <x v="0"/>
  </r>
  <r>
    <s v="ORD-0301"/>
    <s v="2024-01-18"/>
    <x v="11"/>
    <s v="2024"/>
    <s v="Customer_097"/>
    <x v="1"/>
    <x v="3"/>
    <s v="Goa"/>
    <x v="4"/>
    <s v="Football"/>
    <n v="8"/>
    <n v="800"/>
    <x v="2"/>
    <x v="32"/>
    <n v="583.59"/>
    <x v="0"/>
    <x v="0"/>
  </r>
  <r>
    <s v="ORD-0302"/>
    <s v="2024-12-15"/>
    <x v="0"/>
    <s v="2024"/>
    <s v="Customer_081"/>
    <x v="1"/>
    <x v="2"/>
    <s v="Karnataka"/>
    <x v="1"/>
    <s v="Jeans"/>
    <n v="1"/>
    <n v="1299"/>
    <x v="4"/>
    <x v="243"/>
    <n v="111.7"/>
    <x v="1"/>
    <x v="0"/>
  </r>
  <r>
    <s v="ORD-0303"/>
    <s v="2024-06-15"/>
    <x v="2"/>
    <s v="2024"/>
    <s v="Customer_059"/>
    <x v="0"/>
    <x v="1"/>
    <s v="Bihar"/>
    <x v="3"/>
    <s v="Smartphone"/>
    <n v="7"/>
    <n v="18000"/>
    <x v="3"/>
    <x v="169"/>
    <n v="18878.41"/>
    <x v="1"/>
    <x v="1"/>
  </r>
  <r>
    <s v="ORD-0304"/>
    <s v="2024-10-25"/>
    <x v="6"/>
    <s v="2024"/>
    <s v="Customer_073"/>
    <x v="1"/>
    <x v="0"/>
    <s v="Uttar Pradesh"/>
    <x v="3"/>
    <s v="Smart TV"/>
    <n v="3"/>
    <n v="32000"/>
    <x v="0"/>
    <x v="244"/>
    <n v="21247.81"/>
    <x v="0"/>
    <x v="0"/>
  </r>
  <r>
    <s v="ORD-0305"/>
    <s v="2024-08-30"/>
    <x v="7"/>
    <s v="2024"/>
    <s v="Customer_036"/>
    <x v="1"/>
    <x v="1"/>
    <s v="Bihar"/>
    <x v="2"/>
    <s v="Oil Can"/>
    <n v="7"/>
    <n v="220"/>
    <x v="4"/>
    <x v="245"/>
    <n v="306.89"/>
    <x v="0"/>
    <x v="0"/>
  </r>
  <r>
    <s v="ORD-0306"/>
    <s v="2024-05-17"/>
    <x v="9"/>
    <s v="2024"/>
    <s v="Customer_044"/>
    <x v="1"/>
    <x v="3"/>
    <s v="Maharashtra"/>
    <x v="2"/>
    <s v="Oil Can"/>
    <n v="4"/>
    <n v="220"/>
    <x v="1"/>
    <x v="92"/>
    <n v="247.59"/>
    <x v="1"/>
    <x v="0"/>
  </r>
  <r>
    <s v="ORD-0307"/>
    <s v="2024-08-14"/>
    <x v="7"/>
    <s v="2024"/>
    <s v="Customer_094"/>
    <x v="2"/>
    <x v="1"/>
    <s v="Bihar"/>
    <x v="0"/>
    <s v="Sofa"/>
    <n v="2"/>
    <n v="22000"/>
    <x v="0"/>
    <x v="246"/>
    <n v="4860.67"/>
    <x v="1"/>
    <x v="0"/>
  </r>
  <r>
    <s v="ORD-0308"/>
    <s v="2024-07-10"/>
    <x v="3"/>
    <s v="2024"/>
    <s v="Customer_021"/>
    <x v="0"/>
    <x v="0"/>
    <s v="Punjab"/>
    <x v="2"/>
    <s v="Dal Pack"/>
    <n v="7"/>
    <n v="180"/>
    <x v="4"/>
    <x v="235"/>
    <n v="305.3"/>
    <x v="0"/>
    <x v="0"/>
  </r>
  <r>
    <s v="ORD-0309"/>
    <s v="2024-04-12"/>
    <x v="4"/>
    <s v="2024"/>
    <s v="Customer_005"/>
    <x v="1"/>
    <x v="3"/>
    <s v="Gujarat"/>
    <x v="4"/>
    <s v="Badminton Set"/>
    <n v="1"/>
    <n v="950"/>
    <x v="0"/>
    <x v="247"/>
    <n v="119.17"/>
    <x v="0"/>
    <x v="0"/>
  </r>
  <r>
    <s v="ORD-0310"/>
    <s v="2024-03-04"/>
    <x v="10"/>
    <s v="2024"/>
    <s v="Customer_048"/>
    <x v="1"/>
    <x v="1"/>
    <s v="Odisha"/>
    <x v="0"/>
    <s v="Bookshelf"/>
    <n v="8"/>
    <n v="3200"/>
    <x v="3"/>
    <x v="248"/>
    <n v="3833.33"/>
    <x v="0"/>
    <x v="0"/>
  </r>
  <r>
    <s v="ORD-0311"/>
    <s v="2024-05-12"/>
    <x v="9"/>
    <s v="2024"/>
    <s v="Customer_004"/>
    <x v="2"/>
    <x v="3"/>
    <s v="Gujarat"/>
    <x v="2"/>
    <s v="Flour Pack"/>
    <n v="9"/>
    <n v="120"/>
    <x v="2"/>
    <x v="249"/>
    <n v="168.1"/>
    <x v="0"/>
    <x v="0"/>
  </r>
  <r>
    <s v="ORD-0312"/>
    <s v="2024-09-19"/>
    <x v="5"/>
    <s v="2024"/>
    <s v="Customer_002"/>
    <x v="0"/>
    <x v="2"/>
    <s v="Karnataka"/>
    <x v="1"/>
    <s v="Jeans"/>
    <n v="4"/>
    <n v="1299"/>
    <x v="2"/>
    <x v="250"/>
    <n v="1196.82"/>
    <x v="0"/>
    <x v="0"/>
  </r>
  <r>
    <s v="ORD-0313"/>
    <s v="2024-06-05"/>
    <x v="2"/>
    <s v="2024"/>
    <s v="Customer_049"/>
    <x v="2"/>
    <x v="2"/>
    <s v="Karnataka"/>
    <x v="4"/>
    <s v="Cricket Bat"/>
    <n v="4"/>
    <n v="1500"/>
    <x v="2"/>
    <x v="116"/>
    <n v="1318.97"/>
    <x v="1"/>
    <x v="1"/>
  </r>
  <r>
    <s v="ORD-0314"/>
    <s v="2024-07-22"/>
    <x v="3"/>
    <s v="2024"/>
    <s v="Customer_066"/>
    <x v="1"/>
    <x v="3"/>
    <s v="Rajasthan"/>
    <x v="1"/>
    <s v="Saree"/>
    <n v="5"/>
    <n v="2499"/>
    <x v="3"/>
    <x v="251"/>
    <n v="3024.43"/>
    <x v="0"/>
    <x v="1"/>
  </r>
  <r>
    <s v="ORD-0315"/>
    <s v="2024-05-21"/>
    <x v="9"/>
    <s v="2024"/>
    <s v="Customer_034"/>
    <x v="2"/>
    <x v="1"/>
    <s v="Bihar"/>
    <x v="0"/>
    <s v="Office Chair"/>
    <n v="8"/>
    <n v="8500"/>
    <x v="1"/>
    <x v="252"/>
    <n v="11614.17"/>
    <x v="1"/>
    <x v="0"/>
  </r>
  <r>
    <s v="ORD-0316"/>
    <s v="2024-11-03"/>
    <x v="1"/>
    <s v="2024"/>
    <s v="Customer_041"/>
    <x v="0"/>
    <x v="1"/>
    <s v="Odisha"/>
    <x v="1"/>
    <s v="Jacket"/>
    <n v="4"/>
    <n v="1999"/>
    <x v="1"/>
    <x v="253"/>
    <n v="2378.54"/>
    <x v="1"/>
    <x v="0"/>
  </r>
  <r>
    <s v="ORD-0317"/>
    <s v="2024-01-19"/>
    <x v="11"/>
    <s v="2024"/>
    <s v="Customer_093"/>
    <x v="2"/>
    <x v="0"/>
    <s v="Uttar Pradesh"/>
    <x v="0"/>
    <s v="Bookshelf"/>
    <n v="7"/>
    <n v="3200"/>
    <x v="4"/>
    <x v="254"/>
    <n v="3519.24"/>
    <x v="0"/>
    <x v="0"/>
  </r>
  <r>
    <s v="ORD-0318"/>
    <s v="2024-02-19"/>
    <x v="8"/>
    <s v="2024"/>
    <s v="Customer_095"/>
    <x v="1"/>
    <x v="3"/>
    <s v="Rajasthan"/>
    <x v="4"/>
    <s v="Yoga Mat"/>
    <n v="3"/>
    <n v="600"/>
    <x v="3"/>
    <x v="255"/>
    <n v="185.63"/>
    <x v="1"/>
    <x v="0"/>
  </r>
  <r>
    <s v="ORD-0319"/>
    <s v="2024-06-06"/>
    <x v="2"/>
    <s v="2024"/>
    <s v="Customer_048"/>
    <x v="2"/>
    <x v="2"/>
    <s v="Kerala"/>
    <x v="3"/>
    <s v="Laptop"/>
    <n v="6"/>
    <n v="45000"/>
    <x v="0"/>
    <x v="256"/>
    <n v="72060.259999999995"/>
    <x v="1"/>
    <x v="0"/>
  </r>
  <r>
    <s v="ORD-0320"/>
    <s v="2024-11-13"/>
    <x v="1"/>
    <s v="2024"/>
    <s v="Customer_025"/>
    <x v="2"/>
    <x v="1"/>
    <s v="Jharkhand"/>
    <x v="3"/>
    <s v="Smart TV"/>
    <n v="1"/>
    <n v="32000"/>
    <x v="3"/>
    <x v="65"/>
    <n v="6059.12"/>
    <x v="0"/>
    <x v="0"/>
  </r>
  <r>
    <s v="ORD-0321"/>
    <s v="2024-06-24"/>
    <x v="2"/>
    <s v="2024"/>
    <s v="Customer_059"/>
    <x v="0"/>
    <x v="3"/>
    <s v="Rajasthan"/>
    <x v="2"/>
    <s v="Rice (5kg)"/>
    <n v="3"/>
    <n v="350"/>
    <x v="0"/>
    <x v="257"/>
    <n v="347.06"/>
    <x v="1"/>
    <x v="0"/>
  </r>
  <r>
    <s v="ORD-0322"/>
    <s v="2024-01-03"/>
    <x v="11"/>
    <s v="2024"/>
    <s v="Customer_027"/>
    <x v="2"/>
    <x v="2"/>
    <s v="Tamil Nadu"/>
    <x v="2"/>
    <s v="Oil Can"/>
    <n v="3"/>
    <n v="220"/>
    <x v="2"/>
    <x v="258"/>
    <n v="149.28"/>
    <x v="1"/>
    <x v="0"/>
  </r>
  <r>
    <s v="ORD-0323"/>
    <s v="2024-08-07"/>
    <x v="7"/>
    <s v="2024"/>
    <s v="Customer_062"/>
    <x v="2"/>
    <x v="2"/>
    <s v="Karnataka"/>
    <x v="2"/>
    <s v="Rice (5kg)"/>
    <n v="3"/>
    <n v="350"/>
    <x v="3"/>
    <x v="259"/>
    <n v="165.57"/>
    <x v="1"/>
    <x v="0"/>
  </r>
  <r>
    <s v="ORD-0324"/>
    <s v="2024-12-12"/>
    <x v="0"/>
    <s v="2024"/>
    <s v="Customer_094"/>
    <x v="0"/>
    <x v="0"/>
    <s v="Punjab"/>
    <x v="0"/>
    <s v="Office Chair"/>
    <n v="6"/>
    <n v="8500"/>
    <x v="3"/>
    <x v="260"/>
    <n v="5363.39"/>
    <x v="0"/>
    <x v="0"/>
  </r>
  <r>
    <s v="ORD-0325"/>
    <s v="2024-03-26"/>
    <x v="10"/>
    <s v="2024"/>
    <s v="Customer_039"/>
    <x v="1"/>
    <x v="1"/>
    <s v="Bihar"/>
    <x v="1"/>
    <s v="T-Shirt"/>
    <n v="7"/>
    <n v="499"/>
    <x v="3"/>
    <x v="261"/>
    <n v="667.7"/>
    <x v="0"/>
    <x v="1"/>
  </r>
  <r>
    <s v="ORD-0326"/>
    <s v="2024-04-06"/>
    <x v="4"/>
    <s v="2024"/>
    <s v="Customer_003"/>
    <x v="2"/>
    <x v="3"/>
    <s v="Rajasthan"/>
    <x v="2"/>
    <s v="Dal Pack"/>
    <n v="6"/>
    <n v="180"/>
    <x v="4"/>
    <x v="157"/>
    <n v="162.47999999999999"/>
    <x v="0"/>
    <x v="0"/>
  </r>
  <r>
    <s v="ORD-0327"/>
    <s v="2024-12-30"/>
    <x v="0"/>
    <s v="2024"/>
    <s v="Customer_082"/>
    <x v="2"/>
    <x v="2"/>
    <s v="Karnataka"/>
    <x v="3"/>
    <s v="Tablet"/>
    <n v="9"/>
    <n v="15000"/>
    <x v="0"/>
    <x v="262"/>
    <n v="14524.79"/>
    <x v="0"/>
    <x v="0"/>
  </r>
  <r>
    <s v="ORD-0328"/>
    <s v="2024-07-13"/>
    <x v="3"/>
    <s v="2024"/>
    <s v="Customer_033"/>
    <x v="0"/>
    <x v="0"/>
    <s v="Delhi"/>
    <x v="3"/>
    <s v="Smartphone"/>
    <n v="1"/>
    <n v="18000"/>
    <x v="1"/>
    <x v="38"/>
    <n v="3465.53"/>
    <x v="0"/>
    <x v="0"/>
  </r>
  <r>
    <s v="ORD-0329"/>
    <s v="2024-05-18"/>
    <x v="9"/>
    <s v="2024"/>
    <s v="Customer_014"/>
    <x v="2"/>
    <x v="2"/>
    <s v="Karnataka"/>
    <x v="3"/>
    <s v="Headphones"/>
    <n v="7"/>
    <n v="2500"/>
    <x v="1"/>
    <x v="263"/>
    <n v="4530.2299999999996"/>
    <x v="0"/>
    <x v="0"/>
  </r>
  <r>
    <s v="ORD-0330"/>
    <s v="2024-05-14"/>
    <x v="9"/>
    <s v="2024"/>
    <s v="Customer_091"/>
    <x v="2"/>
    <x v="0"/>
    <s v="Haryana"/>
    <x v="3"/>
    <s v="Smartphone"/>
    <n v="8"/>
    <n v="18000"/>
    <x v="0"/>
    <x v="240"/>
    <n v="33438.089999999997"/>
    <x v="0"/>
    <x v="0"/>
  </r>
  <r>
    <s v="ORD-0331"/>
    <s v="2024-01-02"/>
    <x v="11"/>
    <s v="2024"/>
    <s v="Customer_012"/>
    <x v="0"/>
    <x v="2"/>
    <s v="Tamil Nadu"/>
    <x v="4"/>
    <s v="Dumbbells"/>
    <n v="4"/>
    <n v="1200"/>
    <x v="4"/>
    <x v="264"/>
    <n v="690.59"/>
    <x v="0"/>
    <x v="1"/>
  </r>
  <r>
    <s v="ORD-0332"/>
    <s v="2024-11-25"/>
    <x v="1"/>
    <s v="2024"/>
    <s v="Customer_038"/>
    <x v="2"/>
    <x v="3"/>
    <s v="Gujarat"/>
    <x v="3"/>
    <s v="Tablet"/>
    <n v="2"/>
    <n v="15000"/>
    <x v="1"/>
    <x v="265"/>
    <n v="9728.7099999999991"/>
    <x v="0"/>
    <x v="0"/>
  </r>
  <r>
    <s v="ORD-0333"/>
    <s v="2024-06-09"/>
    <x v="2"/>
    <s v="2024"/>
    <s v="Customer_015"/>
    <x v="0"/>
    <x v="0"/>
    <s v="Delhi"/>
    <x v="1"/>
    <s v="T-Shirt"/>
    <n v="5"/>
    <n v="499"/>
    <x v="2"/>
    <x v="266"/>
    <n v="665.64"/>
    <x v="1"/>
    <x v="0"/>
  </r>
  <r>
    <s v="ORD-0334"/>
    <s v="2024-11-14"/>
    <x v="1"/>
    <s v="2024"/>
    <s v="Customer_012"/>
    <x v="0"/>
    <x v="0"/>
    <s v="Delhi"/>
    <x v="1"/>
    <s v="Jeans"/>
    <n v="6"/>
    <n v="1299"/>
    <x v="2"/>
    <x v="267"/>
    <n v="2255.35"/>
    <x v="1"/>
    <x v="0"/>
  </r>
  <r>
    <s v="ORD-0335"/>
    <s v="2024-07-16"/>
    <x v="3"/>
    <s v="2024"/>
    <s v="Customer_084"/>
    <x v="2"/>
    <x v="1"/>
    <s v="Odisha"/>
    <x v="3"/>
    <s v="Smart TV"/>
    <n v="7"/>
    <n v="32000"/>
    <x v="4"/>
    <x v="268"/>
    <n v="29206.400000000001"/>
    <x v="1"/>
    <x v="1"/>
  </r>
  <r>
    <s v="ORD-0336"/>
    <s v="2024-10-29"/>
    <x v="6"/>
    <s v="2024"/>
    <s v="Customer_087"/>
    <x v="0"/>
    <x v="2"/>
    <s v="Tamil Nadu"/>
    <x v="1"/>
    <s v="T-Shirt"/>
    <n v="3"/>
    <n v="499"/>
    <x v="1"/>
    <x v="269"/>
    <n v="287.91000000000003"/>
    <x v="1"/>
    <x v="0"/>
  </r>
  <r>
    <s v="ORD-0337"/>
    <s v="2024-02-27"/>
    <x v="8"/>
    <s v="2024"/>
    <s v="Customer_006"/>
    <x v="2"/>
    <x v="3"/>
    <s v="Rajasthan"/>
    <x v="4"/>
    <s v="Cricket Bat"/>
    <n v="3"/>
    <n v="1500"/>
    <x v="4"/>
    <x v="270"/>
    <n v="1256.54"/>
    <x v="1"/>
    <x v="0"/>
  </r>
  <r>
    <s v="ORD-0338"/>
    <s v="2024-12-08"/>
    <x v="0"/>
    <s v="2024"/>
    <s v="Customer_067"/>
    <x v="0"/>
    <x v="1"/>
    <s v="West Bengal"/>
    <x v="4"/>
    <s v="Badminton Set"/>
    <n v="10"/>
    <n v="950"/>
    <x v="0"/>
    <x v="271"/>
    <n v="3104.89"/>
    <x v="1"/>
    <x v="0"/>
  </r>
  <r>
    <s v="ORD-0339"/>
    <s v="2024-10-12"/>
    <x v="6"/>
    <s v="2024"/>
    <s v="Customer_083"/>
    <x v="1"/>
    <x v="0"/>
    <s v="Uttar Pradesh"/>
    <x v="1"/>
    <s v="Saree"/>
    <n v="6"/>
    <n v="2499"/>
    <x v="4"/>
    <x v="131"/>
    <n v="1531.13"/>
    <x v="0"/>
    <x v="1"/>
  </r>
  <r>
    <s v="ORD-0340"/>
    <s v="2024-05-22"/>
    <x v="9"/>
    <s v="2024"/>
    <s v="Customer_029"/>
    <x v="0"/>
    <x v="3"/>
    <s v="Goa"/>
    <x v="1"/>
    <s v="T-Shirt"/>
    <n v="8"/>
    <n v="499"/>
    <x v="2"/>
    <x v="219"/>
    <n v="521.1"/>
    <x v="0"/>
    <x v="0"/>
  </r>
  <r>
    <s v="ORD-0341"/>
    <s v="2024-08-17"/>
    <x v="7"/>
    <s v="2024"/>
    <s v="Customer_058"/>
    <x v="2"/>
    <x v="3"/>
    <s v="Goa"/>
    <x v="1"/>
    <s v="T-Shirt"/>
    <n v="8"/>
    <n v="499"/>
    <x v="4"/>
    <x v="272"/>
    <n v="1005.54"/>
    <x v="0"/>
    <x v="0"/>
  </r>
  <r>
    <s v="ORD-0342"/>
    <s v="2024-01-01"/>
    <x v="11"/>
    <s v="2024"/>
    <s v="Customer_080"/>
    <x v="0"/>
    <x v="3"/>
    <s v="Maharashtra"/>
    <x v="3"/>
    <s v="Smart TV"/>
    <n v="7"/>
    <n v="32000"/>
    <x v="1"/>
    <x v="273"/>
    <n v="51615.28"/>
    <x v="0"/>
    <x v="0"/>
  </r>
  <r>
    <s v="ORD-0343"/>
    <s v="2024-06-18"/>
    <x v="2"/>
    <s v="2024"/>
    <s v="Customer_085"/>
    <x v="0"/>
    <x v="2"/>
    <s v="Andhra Pradesh"/>
    <x v="0"/>
    <s v="Bookshelf"/>
    <n v="1"/>
    <n v="3200"/>
    <x v="0"/>
    <x v="162"/>
    <n v="936.22"/>
    <x v="1"/>
    <x v="0"/>
  </r>
  <r>
    <s v="ORD-0344"/>
    <s v="2024-11-20"/>
    <x v="1"/>
    <s v="2024"/>
    <s v="Customer_067"/>
    <x v="0"/>
    <x v="3"/>
    <s v="Maharashtra"/>
    <x v="3"/>
    <s v="Laptop"/>
    <n v="1"/>
    <n v="45000"/>
    <x v="2"/>
    <x v="167"/>
    <n v="7123.44"/>
    <x v="1"/>
    <x v="0"/>
  </r>
  <r>
    <s v="ORD-0345"/>
    <s v="2024-11-08"/>
    <x v="1"/>
    <s v="2024"/>
    <s v="Customer_016"/>
    <x v="1"/>
    <x v="0"/>
    <s v="Delhi"/>
    <x v="1"/>
    <s v="Saree"/>
    <n v="3"/>
    <n v="2499"/>
    <x v="4"/>
    <x v="274"/>
    <n v="693.83"/>
    <x v="0"/>
    <x v="1"/>
  </r>
  <r>
    <s v="ORD-0346"/>
    <s v="2024-01-24"/>
    <x v="11"/>
    <s v="2024"/>
    <s v="Customer_059"/>
    <x v="2"/>
    <x v="3"/>
    <s v="Gujarat"/>
    <x v="2"/>
    <s v="Dal Pack"/>
    <n v="6"/>
    <n v="180"/>
    <x v="1"/>
    <x v="103"/>
    <n v="307.18"/>
    <x v="0"/>
    <x v="0"/>
  </r>
  <r>
    <s v="ORD-0347"/>
    <s v="2024-10-26"/>
    <x v="6"/>
    <s v="2024"/>
    <s v="Customer_100"/>
    <x v="0"/>
    <x v="2"/>
    <s v="Andhra Pradesh"/>
    <x v="3"/>
    <s v="Tablet"/>
    <n v="1"/>
    <n v="15000"/>
    <x v="3"/>
    <x v="138"/>
    <n v="3990.4"/>
    <x v="1"/>
    <x v="1"/>
  </r>
  <r>
    <s v="ORD-0348"/>
    <s v="2024-06-13"/>
    <x v="2"/>
    <s v="2024"/>
    <s v="Customer_078"/>
    <x v="2"/>
    <x v="2"/>
    <s v="Karnataka"/>
    <x v="1"/>
    <s v="T-Shirt"/>
    <n v="7"/>
    <n v="499"/>
    <x v="3"/>
    <x v="261"/>
    <n v="680.89"/>
    <x v="1"/>
    <x v="1"/>
  </r>
  <r>
    <s v="ORD-0349"/>
    <s v="2024-03-11"/>
    <x v="10"/>
    <s v="2024"/>
    <s v="Customer_090"/>
    <x v="0"/>
    <x v="2"/>
    <s v="Kerala"/>
    <x v="2"/>
    <s v="Oil Can"/>
    <n v="5"/>
    <n v="220"/>
    <x v="4"/>
    <x v="275"/>
    <n v="277.97000000000003"/>
    <x v="1"/>
    <x v="1"/>
  </r>
  <r>
    <s v="ORD-0350"/>
    <s v="2024-05-28"/>
    <x v="9"/>
    <s v="2024"/>
    <s v="Customer_017"/>
    <x v="0"/>
    <x v="1"/>
    <s v="Bihar"/>
    <x v="4"/>
    <s v="Football"/>
    <n v="4"/>
    <n v="800"/>
    <x v="0"/>
    <x v="162"/>
    <n v="755.52"/>
    <x v="1"/>
    <x v="1"/>
  </r>
  <r>
    <s v="ORD-0351"/>
    <s v="2024-12-07"/>
    <x v="0"/>
    <s v="2024"/>
    <s v="Customer_096"/>
    <x v="0"/>
    <x v="2"/>
    <s v="Kerala"/>
    <x v="3"/>
    <s v="Headphones"/>
    <n v="9"/>
    <n v="2500"/>
    <x v="4"/>
    <x v="242"/>
    <n v="4539.47"/>
    <x v="1"/>
    <x v="1"/>
  </r>
  <r>
    <s v="ORD-0352"/>
    <s v="2024-01-28"/>
    <x v="11"/>
    <s v="2024"/>
    <s v="Customer_035"/>
    <x v="1"/>
    <x v="1"/>
    <s v="Jharkhand"/>
    <x v="3"/>
    <s v="Tablet"/>
    <n v="2"/>
    <n v="15000"/>
    <x v="1"/>
    <x v="265"/>
    <n v="5485.05"/>
    <x v="0"/>
    <x v="0"/>
  </r>
  <r>
    <s v="ORD-0353"/>
    <s v="2024-10-04"/>
    <x v="6"/>
    <s v="2024"/>
    <s v="Customer_058"/>
    <x v="2"/>
    <x v="2"/>
    <s v="Kerala"/>
    <x v="0"/>
    <s v="Study Table"/>
    <n v="1"/>
    <n v="5500"/>
    <x v="2"/>
    <x v="122"/>
    <n v="668.65"/>
    <x v="0"/>
    <x v="0"/>
  </r>
  <r>
    <s v="ORD-0354"/>
    <s v="2024-07-17"/>
    <x v="3"/>
    <s v="2024"/>
    <s v="Customer_041"/>
    <x v="0"/>
    <x v="2"/>
    <s v="Andhra Pradesh"/>
    <x v="1"/>
    <s v="Jacket"/>
    <n v="5"/>
    <n v="1999"/>
    <x v="1"/>
    <x v="276"/>
    <n v="3299.86"/>
    <x v="1"/>
    <x v="1"/>
  </r>
  <r>
    <s v="ORD-0355"/>
    <s v="2024-11-20"/>
    <x v="1"/>
    <s v="2024"/>
    <s v="Customer_070"/>
    <x v="0"/>
    <x v="0"/>
    <s v="Delhi"/>
    <x v="0"/>
    <s v="Study Table"/>
    <n v="10"/>
    <n v="5500"/>
    <x v="4"/>
    <x v="277"/>
    <n v="14216.47"/>
    <x v="1"/>
    <x v="0"/>
  </r>
  <r>
    <s v="ORD-0356"/>
    <s v="2024-03-29"/>
    <x v="10"/>
    <s v="2024"/>
    <s v="Customer_006"/>
    <x v="2"/>
    <x v="2"/>
    <s v="Karnataka"/>
    <x v="0"/>
    <s v="Sofa"/>
    <n v="3"/>
    <n v="22000"/>
    <x v="1"/>
    <x v="228"/>
    <n v="8611.92"/>
    <x v="0"/>
    <x v="0"/>
  </r>
  <r>
    <s v="ORD-0357"/>
    <s v="2024-12-29"/>
    <x v="0"/>
    <s v="2024"/>
    <s v="Customer_020"/>
    <x v="1"/>
    <x v="1"/>
    <s v="Odisha"/>
    <x v="1"/>
    <s v="Jacket"/>
    <n v="5"/>
    <n v="1999"/>
    <x v="1"/>
    <x v="276"/>
    <n v="1691.67"/>
    <x v="0"/>
    <x v="1"/>
  </r>
  <r>
    <s v="ORD-0358"/>
    <s v="2024-12-28"/>
    <x v="0"/>
    <s v="2024"/>
    <s v="Customer_029"/>
    <x v="0"/>
    <x v="0"/>
    <s v="Haryana"/>
    <x v="2"/>
    <s v="Flour Pack"/>
    <n v="9"/>
    <n v="120"/>
    <x v="2"/>
    <x v="249"/>
    <n v="96.89"/>
    <x v="1"/>
    <x v="1"/>
  </r>
  <r>
    <s v="ORD-0359"/>
    <s v="2024-04-23"/>
    <x v="4"/>
    <s v="2024"/>
    <s v="Customer_043"/>
    <x v="0"/>
    <x v="0"/>
    <s v="Punjab"/>
    <x v="2"/>
    <s v="Flour Pack"/>
    <n v="9"/>
    <n v="120"/>
    <x v="4"/>
    <x v="157"/>
    <n v="96.23"/>
    <x v="0"/>
    <x v="0"/>
  </r>
  <r>
    <s v="ORD-0360"/>
    <s v="2024-11-28"/>
    <x v="1"/>
    <s v="2024"/>
    <s v="Customer_086"/>
    <x v="1"/>
    <x v="1"/>
    <s v="Odisha"/>
    <x v="4"/>
    <s v="Badminton Set"/>
    <n v="8"/>
    <n v="950"/>
    <x v="3"/>
    <x v="278"/>
    <n v="1838.57"/>
    <x v="0"/>
    <x v="0"/>
  </r>
  <r>
    <s v="ORD-0361"/>
    <s v="2024-10-03"/>
    <x v="6"/>
    <s v="2024"/>
    <s v="Customer_067"/>
    <x v="1"/>
    <x v="2"/>
    <s v="Karnataka"/>
    <x v="3"/>
    <s v="Headphones"/>
    <n v="7"/>
    <n v="2500"/>
    <x v="1"/>
    <x v="263"/>
    <n v="3223.26"/>
    <x v="1"/>
    <x v="0"/>
  </r>
  <r>
    <s v="ORD-0362"/>
    <s v="2024-02-12"/>
    <x v="8"/>
    <s v="2024"/>
    <s v="Customer_099"/>
    <x v="1"/>
    <x v="1"/>
    <s v="Jharkhand"/>
    <x v="2"/>
    <s v="Rice (5kg)"/>
    <n v="5"/>
    <n v="350"/>
    <x v="0"/>
    <x v="128"/>
    <n v="276.77999999999997"/>
    <x v="0"/>
    <x v="0"/>
  </r>
  <r>
    <s v="ORD-0363"/>
    <s v="2024-12-25"/>
    <x v="0"/>
    <s v="2024"/>
    <s v="Customer_010"/>
    <x v="0"/>
    <x v="0"/>
    <s v="Delhi"/>
    <x v="1"/>
    <s v="Jeans"/>
    <n v="7"/>
    <n v="1299"/>
    <x v="1"/>
    <x v="279"/>
    <n v="1232.1600000000001"/>
    <x v="1"/>
    <x v="0"/>
  </r>
  <r>
    <s v="ORD-0364"/>
    <s v="2024-04-01"/>
    <x v="4"/>
    <s v="2024"/>
    <s v="Customer_010"/>
    <x v="0"/>
    <x v="2"/>
    <s v="Tamil Nadu"/>
    <x v="2"/>
    <s v="Oil Can"/>
    <n v="1"/>
    <n v="220"/>
    <x v="1"/>
    <x v="28"/>
    <n v="21.95"/>
    <x v="1"/>
    <x v="0"/>
  </r>
  <r>
    <s v="ORD-0365"/>
    <s v="2024-01-09"/>
    <x v="11"/>
    <s v="2024"/>
    <s v="Customer_016"/>
    <x v="0"/>
    <x v="2"/>
    <s v="Kerala"/>
    <x v="2"/>
    <s v="Spices Kit"/>
    <n v="8"/>
    <n v="150"/>
    <x v="4"/>
    <x v="159"/>
    <n v="200.86"/>
    <x v="1"/>
    <x v="0"/>
  </r>
  <r>
    <s v="ORD-0366"/>
    <s v="2024-12-17"/>
    <x v="0"/>
    <s v="2024"/>
    <s v="Customer_012"/>
    <x v="0"/>
    <x v="0"/>
    <s v="Delhi"/>
    <x v="3"/>
    <s v="Headphones"/>
    <n v="9"/>
    <n v="2500"/>
    <x v="1"/>
    <x v="280"/>
    <n v="3560.76"/>
    <x v="1"/>
    <x v="0"/>
  </r>
  <r>
    <s v="ORD-0367"/>
    <s v="2024-03-10"/>
    <x v="10"/>
    <s v="2024"/>
    <s v="Customer_038"/>
    <x v="0"/>
    <x v="3"/>
    <s v="Goa"/>
    <x v="2"/>
    <s v="Rice (5kg)"/>
    <n v="8"/>
    <n v="350"/>
    <x v="0"/>
    <x v="281"/>
    <n v="595.94000000000005"/>
    <x v="1"/>
    <x v="1"/>
  </r>
  <r>
    <s v="ORD-0368"/>
    <s v="2024-01-22"/>
    <x v="11"/>
    <s v="2024"/>
    <s v="Customer_077"/>
    <x v="0"/>
    <x v="2"/>
    <s v="Kerala"/>
    <x v="0"/>
    <s v="Office Chair"/>
    <n v="9"/>
    <n v="8500"/>
    <x v="3"/>
    <x v="282"/>
    <n v="7232.06"/>
    <x v="0"/>
    <x v="0"/>
  </r>
  <r>
    <s v="ORD-0369"/>
    <s v="2024-09-19"/>
    <x v="5"/>
    <s v="2024"/>
    <s v="Customer_024"/>
    <x v="1"/>
    <x v="0"/>
    <s v="Haryana"/>
    <x v="1"/>
    <s v="Kurta"/>
    <n v="4"/>
    <n v="799"/>
    <x v="4"/>
    <x v="283"/>
    <n v="881.59"/>
    <x v="0"/>
    <x v="0"/>
  </r>
  <r>
    <s v="ORD-0370"/>
    <s v="2024-10-08"/>
    <x v="6"/>
    <s v="2024"/>
    <s v="Customer_071"/>
    <x v="0"/>
    <x v="1"/>
    <s v="Odisha"/>
    <x v="3"/>
    <s v="Laptop"/>
    <n v="10"/>
    <n v="45000"/>
    <x v="1"/>
    <x v="13"/>
    <n v="139443.60999999999"/>
    <x v="1"/>
    <x v="0"/>
  </r>
  <r>
    <s v="ORD-0371"/>
    <s v="2024-07-01"/>
    <x v="3"/>
    <s v="2024"/>
    <s v="Customer_084"/>
    <x v="0"/>
    <x v="0"/>
    <s v="Haryana"/>
    <x v="3"/>
    <s v="Laptop"/>
    <n v="10"/>
    <n v="45000"/>
    <x v="4"/>
    <x v="284"/>
    <n v="128870.28"/>
    <x v="0"/>
    <x v="0"/>
  </r>
  <r>
    <s v="ORD-0372"/>
    <s v="2024-12-03"/>
    <x v="0"/>
    <s v="2024"/>
    <s v="Customer_075"/>
    <x v="0"/>
    <x v="1"/>
    <s v="West Bengal"/>
    <x v="1"/>
    <s v="Kurta"/>
    <n v="8"/>
    <n v="799"/>
    <x v="4"/>
    <x v="285"/>
    <n v="916.33"/>
    <x v="1"/>
    <x v="0"/>
  </r>
  <r>
    <s v="ORD-0373"/>
    <s v="2024-04-23"/>
    <x v="4"/>
    <s v="2024"/>
    <s v="Customer_047"/>
    <x v="2"/>
    <x v="1"/>
    <s v="Bihar"/>
    <x v="2"/>
    <s v="Dal Pack"/>
    <n v="1"/>
    <n v="180"/>
    <x v="2"/>
    <x v="286"/>
    <n v="23.73"/>
    <x v="1"/>
    <x v="0"/>
  </r>
  <r>
    <s v="ORD-0374"/>
    <s v="2024-02-25"/>
    <x v="8"/>
    <s v="2024"/>
    <s v="Customer_078"/>
    <x v="0"/>
    <x v="1"/>
    <s v="Jharkhand"/>
    <x v="2"/>
    <s v="Spices Kit"/>
    <n v="6"/>
    <n v="150"/>
    <x v="2"/>
    <x v="287"/>
    <n v="171.3"/>
    <x v="0"/>
    <x v="0"/>
  </r>
  <r>
    <s v="ORD-0375"/>
    <s v="2024-01-10"/>
    <x v="11"/>
    <s v="2024"/>
    <s v="Customer_075"/>
    <x v="0"/>
    <x v="1"/>
    <s v="Odisha"/>
    <x v="4"/>
    <s v="Football"/>
    <n v="5"/>
    <n v="800"/>
    <x v="1"/>
    <x v="217"/>
    <n v="1105.6199999999999"/>
    <x v="0"/>
    <x v="0"/>
  </r>
  <r>
    <s v="ORD-0376"/>
    <s v="2024-03-17"/>
    <x v="10"/>
    <s v="2024"/>
    <s v="Customer_029"/>
    <x v="2"/>
    <x v="2"/>
    <s v="Tamil Nadu"/>
    <x v="4"/>
    <s v="Yoga Mat"/>
    <n v="9"/>
    <n v="600"/>
    <x v="3"/>
    <x v="288"/>
    <n v="896.26"/>
    <x v="1"/>
    <x v="1"/>
  </r>
  <r>
    <s v="ORD-0377"/>
    <s v="2024-09-14"/>
    <x v="5"/>
    <s v="2024"/>
    <s v="Customer_031"/>
    <x v="0"/>
    <x v="1"/>
    <s v="Odisha"/>
    <x v="2"/>
    <s v="Flour Pack"/>
    <n v="9"/>
    <n v="120"/>
    <x v="1"/>
    <x v="103"/>
    <n v="202.1"/>
    <x v="0"/>
    <x v="0"/>
  </r>
  <r>
    <s v="ORD-0378"/>
    <s v="2024-12-03"/>
    <x v="0"/>
    <s v="2024"/>
    <s v="Customer_094"/>
    <x v="0"/>
    <x v="2"/>
    <s v="Karnataka"/>
    <x v="2"/>
    <s v="Dal Pack"/>
    <n v="3"/>
    <n v="180"/>
    <x v="3"/>
    <x v="34"/>
    <n v="145.22"/>
    <x v="0"/>
    <x v="0"/>
  </r>
  <r>
    <s v="ORD-0379"/>
    <s v="2024-04-29"/>
    <x v="4"/>
    <s v="2024"/>
    <s v="Customer_027"/>
    <x v="0"/>
    <x v="1"/>
    <s v="West Bengal"/>
    <x v="1"/>
    <s v="Saree"/>
    <n v="4"/>
    <n v="2499"/>
    <x v="1"/>
    <x v="251"/>
    <n v="1513.16"/>
    <x v="0"/>
    <x v="0"/>
  </r>
  <r>
    <s v="ORD-0380"/>
    <s v="2024-06-14"/>
    <x v="2"/>
    <s v="2024"/>
    <s v="Customer_067"/>
    <x v="0"/>
    <x v="1"/>
    <s v="Jharkhand"/>
    <x v="2"/>
    <s v="Spices Kit"/>
    <n v="1"/>
    <n v="150"/>
    <x v="1"/>
    <x v="112"/>
    <n v="51.71"/>
    <x v="0"/>
    <x v="0"/>
  </r>
  <r>
    <s v="ORD-0381"/>
    <s v="2024-07-12"/>
    <x v="3"/>
    <s v="2024"/>
    <s v="Customer_084"/>
    <x v="0"/>
    <x v="1"/>
    <s v="Bihar"/>
    <x v="4"/>
    <s v="Badminton Set"/>
    <n v="10"/>
    <n v="950"/>
    <x v="0"/>
    <x v="271"/>
    <n v="1639.83"/>
    <x v="1"/>
    <x v="1"/>
  </r>
  <r>
    <s v="ORD-0382"/>
    <s v="2024-06-25"/>
    <x v="2"/>
    <s v="2024"/>
    <s v="Customer_078"/>
    <x v="2"/>
    <x v="0"/>
    <s v="Haryana"/>
    <x v="2"/>
    <s v="Dal Pack"/>
    <n v="9"/>
    <n v="180"/>
    <x v="4"/>
    <x v="289"/>
    <n v="241.36"/>
    <x v="1"/>
    <x v="0"/>
  </r>
  <r>
    <s v="ORD-0383"/>
    <s v="2024-04-18"/>
    <x v="4"/>
    <s v="2024"/>
    <s v="Customer_021"/>
    <x v="1"/>
    <x v="2"/>
    <s v="Andhra Pradesh"/>
    <x v="1"/>
    <s v="Jeans"/>
    <n v="2"/>
    <n v="1299"/>
    <x v="3"/>
    <x v="290"/>
    <n v="527.37"/>
    <x v="0"/>
    <x v="0"/>
  </r>
  <r>
    <s v="ORD-0384"/>
    <s v="2024-09-02"/>
    <x v="5"/>
    <s v="2024"/>
    <s v="Customer_021"/>
    <x v="0"/>
    <x v="0"/>
    <s v="Punjab"/>
    <x v="2"/>
    <s v="Oil Can"/>
    <n v="2"/>
    <n v="220"/>
    <x v="4"/>
    <x v="47"/>
    <n v="98.1"/>
    <x v="0"/>
    <x v="0"/>
  </r>
  <r>
    <s v="ORD-0385"/>
    <s v="2024-03-09"/>
    <x v="10"/>
    <s v="2024"/>
    <s v="Customer_019"/>
    <x v="0"/>
    <x v="3"/>
    <s v="Maharashtra"/>
    <x v="1"/>
    <s v="T-Shirt"/>
    <n v="3"/>
    <n v="499"/>
    <x v="3"/>
    <x v="291"/>
    <n v="287.33999999999997"/>
    <x v="0"/>
    <x v="0"/>
  </r>
  <r>
    <s v="ORD-0386"/>
    <s v="2024-12-04"/>
    <x v="0"/>
    <s v="2024"/>
    <s v="Customer_028"/>
    <x v="1"/>
    <x v="1"/>
    <s v="Odisha"/>
    <x v="4"/>
    <s v="Dumbbells"/>
    <n v="10"/>
    <n v="1200"/>
    <x v="3"/>
    <x v="292"/>
    <n v="2420.7199999999998"/>
    <x v="1"/>
    <x v="0"/>
  </r>
  <r>
    <s v="ORD-0387"/>
    <s v="2024-10-25"/>
    <x v="6"/>
    <s v="2024"/>
    <s v="Customer_085"/>
    <x v="0"/>
    <x v="3"/>
    <s v="Goa"/>
    <x v="1"/>
    <s v="Jeans"/>
    <n v="7"/>
    <n v="1299"/>
    <x v="3"/>
    <x v="293"/>
    <n v="862.25"/>
    <x v="0"/>
    <x v="0"/>
  </r>
  <r>
    <s v="ORD-0388"/>
    <s v="2024-07-16"/>
    <x v="3"/>
    <s v="2024"/>
    <s v="Customer_003"/>
    <x v="1"/>
    <x v="2"/>
    <s v="Kerala"/>
    <x v="2"/>
    <s v="Flour Pack"/>
    <n v="10"/>
    <n v="120"/>
    <x v="1"/>
    <x v="18"/>
    <n v="170.46"/>
    <x v="0"/>
    <x v="0"/>
  </r>
  <r>
    <s v="ORD-0389"/>
    <s v="2024-11-03"/>
    <x v="1"/>
    <s v="2024"/>
    <s v="Customer_065"/>
    <x v="0"/>
    <x v="3"/>
    <s v="Gujarat"/>
    <x v="4"/>
    <s v="Cricket Bat"/>
    <n v="3"/>
    <n v="1500"/>
    <x v="4"/>
    <x v="270"/>
    <n v="1237.1400000000001"/>
    <x v="0"/>
    <x v="0"/>
  </r>
  <r>
    <s v="ORD-0390"/>
    <s v="2024-12-13"/>
    <x v="0"/>
    <s v="2024"/>
    <s v="Customer_054"/>
    <x v="0"/>
    <x v="0"/>
    <s v="Uttar Pradesh"/>
    <x v="1"/>
    <s v="Jacket"/>
    <n v="9"/>
    <n v="1999"/>
    <x v="1"/>
    <x v="12"/>
    <n v="5796.37"/>
    <x v="1"/>
    <x v="0"/>
  </r>
  <r>
    <s v="ORD-0391"/>
    <s v="2024-12-22"/>
    <x v="0"/>
    <s v="2024"/>
    <s v="Customer_018"/>
    <x v="2"/>
    <x v="0"/>
    <s v="Uttar Pradesh"/>
    <x v="1"/>
    <s v="Saree"/>
    <n v="7"/>
    <n v="2499"/>
    <x v="2"/>
    <x v="294"/>
    <n v="3763.42"/>
    <x v="0"/>
    <x v="0"/>
  </r>
  <r>
    <s v="ORD-0392"/>
    <s v="2024-01-03"/>
    <x v="11"/>
    <s v="2024"/>
    <s v="Customer_067"/>
    <x v="0"/>
    <x v="2"/>
    <s v="Tamil Nadu"/>
    <x v="0"/>
    <s v="Bed Frame"/>
    <n v="9"/>
    <n v="18000"/>
    <x v="4"/>
    <x v="67"/>
    <n v="20600.93"/>
    <x v="0"/>
    <x v="0"/>
  </r>
  <r>
    <s v="ORD-0393"/>
    <s v="2024-08-06"/>
    <x v="7"/>
    <s v="2024"/>
    <s v="Customer_069"/>
    <x v="2"/>
    <x v="0"/>
    <s v="Uttar Pradesh"/>
    <x v="1"/>
    <s v="Kurta"/>
    <n v="7"/>
    <n v="799"/>
    <x v="2"/>
    <x v="295"/>
    <n v="547.54999999999995"/>
    <x v="1"/>
    <x v="0"/>
  </r>
  <r>
    <s v="ORD-0394"/>
    <s v="2024-09-04"/>
    <x v="5"/>
    <s v="2024"/>
    <s v="Customer_072"/>
    <x v="2"/>
    <x v="1"/>
    <s v="Bihar"/>
    <x v="2"/>
    <s v="Dal Pack"/>
    <n v="7"/>
    <n v="180"/>
    <x v="3"/>
    <x v="296"/>
    <n v="293.95999999999998"/>
    <x v="0"/>
    <x v="0"/>
  </r>
  <r>
    <s v="ORD-0395"/>
    <s v="2024-12-03"/>
    <x v="0"/>
    <s v="2024"/>
    <s v="Customer_030"/>
    <x v="0"/>
    <x v="1"/>
    <s v="Bihar"/>
    <x v="4"/>
    <s v="Yoga Mat"/>
    <n v="7"/>
    <n v="600"/>
    <x v="0"/>
    <x v="297"/>
    <n v="1240.29"/>
    <x v="0"/>
    <x v="0"/>
  </r>
  <r>
    <s v="ORD-0396"/>
    <s v="2024-11-10"/>
    <x v="1"/>
    <s v="2024"/>
    <s v="Customer_050"/>
    <x v="1"/>
    <x v="2"/>
    <s v="Tamil Nadu"/>
    <x v="1"/>
    <s v="Jacket"/>
    <n v="7"/>
    <n v="1999"/>
    <x v="2"/>
    <x v="298"/>
    <n v="3730.64"/>
    <x v="0"/>
    <x v="1"/>
  </r>
  <r>
    <s v="ORD-0397"/>
    <s v="2024-05-14"/>
    <x v="9"/>
    <s v="2024"/>
    <s v="Customer_011"/>
    <x v="2"/>
    <x v="0"/>
    <s v="Delhi"/>
    <x v="1"/>
    <s v="Saree"/>
    <n v="10"/>
    <n v="2499"/>
    <x v="4"/>
    <x v="213"/>
    <n v="2204.8200000000002"/>
    <x v="0"/>
    <x v="0"/>
  </r>
  <r>
    <s v="ORD-0398"/>
    <s v="2024-03-30"/>
    <x v="10"/>
    <s v="2024"/>
    <s v="Customer_002"/>
    <x v="2"/>
    <x v="3"/>
    <s v="Goa"/>
    <x v="4"/>
    <s v="Badminton Set"/>
    <n v="5"/>
    <n v="950"/>
    <x v="3"/>
    <x v="8"/>
    <n v="362.96"/>
    <x v="1"/>
    <x v="0"/>
  </r>
  <r>
    <s v="ORD-0399"/>
    <s v="2024-11-10"/>
    <x v="1"/>
    <s v="2024"/>
    <s v="Customer_005"/>
    <x v="0"/>
    <x v="1"/>
    <s v="Odisha"/>
    <x v="3"/>
    <s v="Tablet"/>
    <n v="9"/>
    <n v="15000"/>
    <x v="3"/>
    <x v="126"/>
    <n v="29006.79"/>
    <x v="0"/>
    <x v="0"/>
  </r>
  <r>
    <s v="ORD-0400"/>
    <s v="2024-07-26"/>
    <x v="3"/>
    <s v="2024"/>
    <s v="Customer_002"/>
    <x v="0"/>
    <x v="0"/>
    <s v="Punjab"/>
    <x v="3"/>
    <s v="Headphones"/>
    <n v="7"/>
    <n v="2500"/>
    <x v="2"/>
    <x v="75"/>
    <n v="4107.74"/>
    <x v="0"/>
    <x v="0"/>
  </r>
  <r>
    <s v="ORD-0401"/>
    <s v="2024-05-21"/>
    <x v="9"/>
    <s v="2024"/>
    <s v="Customer_025"/>
    <x v="0"/>
    <x v="0"/>
    <s v="Delhi"/>
    <x v="4"/>
    <s v="Yoga Mat"/>
    <n v="9"/>
    <n v="600"/>
    <x v="3"/>
    <x v="288"/>
    <n v="751.62"/>
    <x v="0"/>
    <x v="0"/>
  </r>
  <r>
    <s v="ORD-0402"/>
    <s v="2024-02-07"/>
    <x v="8"/>
    <s v="2024"/>
    <s v="Customer_015"/>
    <x v="2"/>
    <x v="3"/>
    <s v="Maharashtra"/>
    <x v="0"/>
    <s v="Study Table"/>
    <n v="7"/>
    <n v="5500"/>
    <x v="3"/>
    <x v="37"/>
    <n v="3349.36"/>
    <x v="1"/>
    <x v="0"/>
  </r>
  <r>
    <s v="ORD-0403"/>
    <s v="2024-06-22"/>
    <x v="2"/>
    <s v="2024"/>
    <s v="Customer_059"/>
    <x v="0"/>
    <x v="1"/>
    <s v="Bihar"/>
    <x v="2"/>
    <s v="Spices Kit"/>
    <n v="10"/>
    <n v="150"/>
    <x v="4"/>
    <x v="299"/>
    <n v="367.06"/>
    <x v="1"/>
    <x v="1"/>
  </r>
  <r>
    <s v="ORD-0404"/>
    <s v="2024-04-22"/>
    <x v="4"/>
    <s v="2024"/>
    <s v="Customer_053"/>
    <x v="2"/>
    <x v="0"/>
    <s v="Uttar Pradesh"/>
    <x v="3"/>
    <s v="Headphones"/>
    <n v="2"/>
    <n v="2500"/>
    <x v="4"/>
    <x v="300"/>
    <n v="1067.1300000000001"/>
    <x v="0"/>
    <x v="1"/>
  </r>
  <r>
    <s v="ORD-0405"/>
    <s v="2024-06-24"/>
    <x v="2"/>
    <s v="2024"/>
    <s v="Customer_023"/>
    <x v="0"/>
    <x v="0"/>
    <s v="Haryana"/>
    <x v="1"/>
    <s v="Kurta"/>
    <n v="2"/>
    <n v="799"/>
    <x v="4"/>
    <x v="301"/>
    <n v="355.74"/>
    <x v="0"/>
    <x v="0"/>
  </r>
  <r>
    <s v="ORD-0406"/>
    <s v="2024-04-12"/>
    <x v="4"/>
    <s v="2024"/>
    <s v="Customer_031"/>
    <x v="0"/>
    <x v="1"/>
    <s v="Odisha"/>
    <x v="4"/>
    <s v="Yoga Mat"/>
    <n v="3"/>
    <n v="600"/>
    <x v="0"/>
    <x v="302"/>
    <n v="367.19"/>
    <x v="0"/>
    <x v="1"/>
  </r>
  <r>
    <s v="ORD-0407"/>
    <s v="2024-02-24"/>
    <x v="8"/>
    <s v="2024"/>
    <s v="Customer_087"/>
    <x v="1"/>
    <x v="2"/>
    <s v="Karnataka"/>
    <x v="1"/>
    <s v="Jeans"/>
    <n v="10"/>
    <n v="1299"/>
    <x v="2"/>
    <x v="64"/>
    <n v="1427.69"/>
    <x v="0"/>
    <x v="1"/>
  </r>
  <r>
    <s v="ORD-0408"/>
    <s v="2024-09-09"/>
    <x v="5"/>
    <s v="2024"/>
    <s v="Customer_024"/>
    <x v="2"/>
    <x v="3"/>
    <s v="Maharashtra"/>
    <x v="4"/>
    <s v="Cricket Bat"/>
    <n v="8"/>
    <n v="1500"/>
    <x v="2"/>
    <x v="303"/>
    <n v="2673.87"/>
    <x v="1"/>
    <x v="1"/>
  </r>
  <r>
    <s v="ORD-0409"/>
    <s v="2024-08-04"/>
    <x v="7"/>
    <s v="2024"/>
    <s v="Customer_005"/>
    <x v="0"/>
    <x v="1"/>
    <s v="Jharkhand"/>
    <x v="1"/>
    <s v="Jacket"/>
    <n v="3"/>
    <n v="1999"/>
    <x v="1"/>
    <x v="304"/>
    <n v="1331.03"/>
    <x v="1"/>
    <x v="0"/>
  </r>
  <r>
    <s v="ORD-0410"/>
    <s v="2024-01-05"/>
    <x v="11"/>
    <s v="2024"/>
    <s v="Customer_027"/>
    <x v="0"/>
    <x v="3"/>
    <s v="Gujarat"/>
    <x v="2"/>
    <s v="Rice (5kg)"/>
    <n v="9"/>
    <n v="350"/>
    <x v="4"/>
    <x v="305"/>
    <n v="442.39"/>
    <x v="0"/>
    <x v="0"/>
  </r>
  <r>
    <s v="ORD-0411"/>
    <s v="2024-05-01"/>
    <x v="9"/>
    <s v="2024"/>
    <s v="Customer_079"/>
    <x v="2"/>
    <x v="0"/>
    <s v="Haryana"/>
    <x v="0"/>
    <s v="Bed Frame"/>
    <n v="5"/>
    <n v="18000"/>
    <x v="0"/>
    <x v="56"/>
    <n v="19503.59"/>
    <x v="1"/>
    <x v="0"/>
  </r>
  <r>
    <s v="ORD-0412"/>
    <s v="2024-07-24"/>
    <x v="3"/>
    <s v="2024"/>
    <s v="Customer_024"/>
    <x v="2"/>
    <x v="2"/>
    <s v="Andhra Pradesh"/>
    <x v="2"/>
    <s v="Dal Pack"/>
    <n v="7"/>
    <n v="180"/>
    <x v="2"/>
    <x v="306"/>
    <n v="202.5"/>
    <x v="1"/>
    <x v="0"/>
  </r>
  <r>
    <s v="ORD-0413"/>
    <s v="2024-04-10"/>
    <x v="4"/>
    <s v="2024"/>
    <s v="Customer_020"/>
    <x v="0"/>
    <x v="2"/>
    <s v="Tamil Nadu"/>
    <x v="0"/>
    <s v="Study Table"/>
    <n v="9"/>
    <n v="5500"/>
    <x v="4"/>
    <x v="307"/>
    <n v="13093.88"/>
    <x v="0"/>
    <x v="0"/>
  </r>
  <r>
    <s v="ORD-0414"/>
    <s v="2024-06-10"/>
    <x v="2"/>
    <s v="2024"/>
    <s v="Customer_033"/>
    <x v="2"/>
    <x v="0"/>
    <s v="Punjab"/>
    <x v="2"/>
    <s v="Spices Kit"/>
    <n v="3"/>
    <n v="150"/>
    <x v="3"/>
    <x v="308"/>
    <n v="80.7"/>
    <x v="1"/>
    <x v="0"/>
  </r>
  <r>
    <s v="ORD-0415"/>
    <s v="2024-08-31"/>
    <x v="7"/>
    <s v="2024"/>
    <s v="Customer_096"/>
    <x v="2"/>
    <x v="0"/>
    <s v="Uttar Pradesh"/>
    <x v="3"/>
    <s v="Laptop"/>
    <n v="1"/>
    <n v="45000"/>
    <x v="0"/>
    <x v="309"/>
    <n v="12813.5"/>
    <x v="0"/>
    <x v="0"/>
  </r>
  <r>
    <s v="ORD-0416"/>
    <s v="2024-03-03"/>
    <x v="10"/>
    <s v="2024"/>
    <s v="Customer_078"/>
    <x v="0"/>
    <x v="1"/>
    <s v="Bihar"/>
    <x v="4"/>
    <s v="Badminton Set"/>
    <n v="5"/>
    <n v="950"/>
    <x v="2"/>
    <x v="310"/>
    <n v="364.89"/>
    <x v="1"/>
    <x v="0"/>
  </r>
  <r>
    <s v="ORD-0417"/>
    <s v="2024-08-16"/>
    <x v="7"/>
    <s v="2024"/>
    <s v="Customer_079"/>
    <x v="2"/>
    <x v="2"/>
    <s v="Kerala"/>
    <x v="0"/>
    <s v="Bookshelf"/>
    <n v="9"/>
    <n v="3200"/>
    <x v="4"/>
    <x v="175"/>
    <n v="7079.15"/>
    <x v="0"/>
    <x v="0"/>
  </r>
  <r>
    <s v="ORD-0418"/>
    <s v="2024-02-06"/>
    <x v="8"/>
    <s v="2024"/>
    <s v="Customer_044"/>
    <x v="1"/>
    <x v="2"/>
    <s v="Karnataka"/>
    <x v="0"/>
    <s v="Sofa"/>
    <n v="10"/>
    <n v="22000"/>
    <x v="3"/>
    <x v="311"/>
    <n v="33314.800000000003"/>
    <x v="0"/>
    <x v="0"/>
  </r>
  <r>
    <s v="ORD-0419"/>
    <s v="2024-07-04"/>
    <x v="3"/>
    <s v="2024"/>
    <s v="Customer_022"/>
    <x v="2"/>
    <x v="1"/>
    <s v="Bihar"/>
    <x v="0"/>
    <s v="Bed Frame"/>
    <n v="7"/>
    <n v="18000"/>
    <x v="2"/>
    <x v="51"/>
    <n v="36251.35"/>
    <x v="1"/>
    <x v="0"/>
  </r>
  <r>
    <s v="ORD-0420"/>
    <s v="2024-02-22"/>
    <x v="8"/>
    <s v="2024"/>
    <s v="Customer_061"/>
    <x v="1"/>
    <x v="0"/>
    <s v="Punjab"/>
    <x v="1"/>
    <s v="Kurta"/>
    <n v="2"/>
    <n v="799"/>
    <x v="0"/>
    <x v="312"/>
    <n v="189.86"/>
    <x v="0"/>
    <x v="0"/>
  </r>
  <r>
    <s v="ORD-0421"/>
    <s v="2024-02-13"/>
    <x v="8"/>
    <s v="2024"/>
    <s v="Customer_030"/>
    <x v="2"/>
    <x v="0"/>
    <s v="Uttar Pradesh"/>
    <x v="4"/>
    <s v="Cricket Bat"/>
    <n v="2"/>
    <n v="1500"/>
    <x v="2"/>
    <x v="313"/>
    <n v="666.6"/>
    <x v="1"/>
    <x v="0"/>
  </r>
  <r>
    <s v="ORD-0422"/>
    <s v="2024-12-05"/>
    <x v="0"/>
    <s v="2024"/>
    <s v="Customer_061"/>
    <x v="2"/>
    <x v="1"/>
    <s v="Jharkhand"/>
    <x v="1"/>
    <s v="Jeans"/>
    <n v="9"/>
    <n v="1299"/>
    <x v="0"/>
    <x v="314"/>
    <n v="974.19"/>
    <x v="1"/>
    <x v="0"/>
  </r>
  <r>
    <s v="ORD-0423"/>
    <s v="2024-11-19"/>
    <x v="1"/>
    <s v="2024"/>
    <s v="Customer_082"/>
    <x v="0"/>
    <x v="1"/>
    <s v="Jharkhand"/>
    <x v="1"/>
    <s v="Jacket"/>
    <n v="3"/>
    <n v="1999"/>
    <x v="3"/>
    <x v="315"/>
    <n v="1157.8900000000001"/>
    <x v="1"/>
    <x v="0"/>
  </r>
  <r>
    <s v="ORD-0424"/>
    <s v="2024-07-06"/>
    <x v="3"/>
    <s v="2024"/>
    <s v="Customer_020"/>
    <x v="2"/>
    <x v="1"/>
    <s v="Bihar"/>
    <x v="2"/>
    <s v="Flour Pack"/>
    <n v="4"/>
    <n v="120"/>
    <x v="1"/>
    <x v="149"/>
    <n v="95.67"/>
    <x v="1"/>
    <x v="0"/>
  </r>
  <r>
    <s v="ORD-0425"/>
    <s v="2024-09-08"/>
    <x v="5"/>
    <s v="2024"/>
    <s v="Customer_002"/>
    <x v="2"/>
    <x v="0"/>
    <s v="Punjab"/>
    <x v="0"/>
    <s v="Bookshelf"/>
    <n v="8"/>
    <n v="3200"/>
    <x v="3"/>
    <x v="248"/>
    <n v="1684.39"/>
    <x v="1"/>
    <x v="0"/>
  </r>
  <r>
    <s v="ORD-0426"/>
    <s v="2024-10-14"/>
    <x v="6"/>
    <s v="2024"/>
    <s v="Customer_032"/>
    <x v="2"/>
    <x v="1"/>
    <s v="Odisha"/>
    <x v="3"/>
    <s v="Tablet"/>
    <n v="6"/>
    <n v="15000"/>
    <x v="0"/>
    <x v="56"/>
    <n v="16344.92"/>
    <x v="1"/>
    <x v="0"/>
  </r>
  <r>
    <s v="ORD-0427"/>
    <s v="2024-09-21"/>
    <x v="5"/>
    <s v="2024"/>
    <s v="Customer_084"/>
    <x v="2"/>
    <x v="3"/>
    <s v="Goa"/>
    <x v="1"/>
    <s v="Kurta"/>
    <n v="2"/>
    <n v="799"/>
    <x v="4"/>
    <x v="301"/>
    <n v="338"/>
    <x v="1"/>
    <x v="0"/>
  </r>
  <r>
    <s v="ORD-0428"/>
    <s v="2024-11-22"/>
    <x v="1"/>
    <s v="2024"/>
    <s v="Customer_058"/>
    <x v="0"/>
    <x v="1"/>
    <s v="Jharkhand"/>
    <x v="1"/>
    <s v="T-Shirt"/>
    <n v="3"/>
    <n v="499"/>
    <x v="0"/>
    <x v="316"/>
    <n v="224.97"/>
    <x v="1"/>
    <x v="0"/>
  </r>
  <r>
    <s v="ORD-0429"/>
    <s v="2024-01-12"/>
    <x v="11"/>
    <s v="2024"/>
    <s v="Customer_037"/>
    <x v="1"/>
    <x v="3"/>
    <s v="Gujarat"/>
    <x v="0"/>
    <s v="Office Chair"/>
    <n v="3"/>
    <n v="8500"/>
    <x v="1"/>
    <x v="317"/>
    <n v="8716.5"/>
    <x v="0"/>
    <x v="0"/>
  </r>
  <r>
    <s v="ORD-0430"/>
    <s v="2024-06-24"/>
    <x v="2"/>
    <s v="2024"/>
    <s v="Customer_064"/>
    <x v="2"/>
    <x v="3"/>
    <s v="Maharashtra"/>
    <x v="1"/>
    <s v="T-Shirt"/>
    <n v="3"/>
    <n v="499"/>
    <x v="1"/>
    <x v="269"/>
    <n v="319.26"/>
    <x v="1"/>
    <x v="1"/>
  </r>
  <r>
    <s v="ORD-0431"/>
    <s v="2024-07-19"/>
    <x v="3"/>
    <s v="2024"/>
    <s v="Customer_061"/>
    <x v="0"/>
    <x v="3"/>
    <s v="Maharashtra"/>
    <x v="0"/>
    <s v="Office Chair"/>
    <n v="3"/>
    <n v="8500"/>
    <x v="1"/>
    <x v="317"/>
    <n v="3874.88"/>
    <x v="0"/>
    <x v="0"/>
  </r>
  <r>
    <s v="ORD-0432"/>
    <s v="2024-08-14"/>
    <x v="7"/>
    <s v="2024"/>
    <s v="Customer_005"/>
    <x v="0"/>
    <x v="1"/>
    <s v="Jharkhand"/>
    <x v="3"/>
    <s v="Smartphone"/>
    <n v="4"/>
    <n v="18000"/>
    <x v="4"/>
    <x v="282"/>
    <n v="17639.73"/>
    <x v="0"/>
    <x v="0"/>
  </r>
  <r>
    <s v="ORD-0433"/>
    <s v="2024-01-22"/>
    <x v="11"/>
    <s v="2024"/>
    <s v="Customer_062"/>
    <x v="2"/>
    <x v="0"/>
    <s v="Punjab"/>
    <x v="2"/>
    <s v="Spices Kit"/>
    <n v="5"/>
    <n v="150"/>
    <x v="2"/>
    <x v="318"/>
    <n v="82.91"/>
    <x v="0"/>
    <x v="0"/>
  </r>
  <r>
    <s v="ORD-0434"/>
    <s v="2024-06-15"/>
    <x v="2"/>
    <s v="2024"/>
    <s v="Customer_036"/>
    <x v="1"/>
    <x v="2"/>
    <s v="Kerala"/>
    <x v="3"/>
    <s v="Laptop"/>
    <n v="2"/>
    <n v="45000"/>
    <x v="0"/>
    <x v="56"/>
    <n v="21450.7"/>
    <x v="0"/>
    <x v="0"/>
  </r>
  <r>
    <s v="ORD-0435"/>
    <s v="2024-03-20"/>
    <x v="10"/>
    <s v="2024"/>
    <s v="Customer_032"/>
    <x v="1"/>
    <x v="3"/>
    <s v="Gujarat"/>
    <x v="3"/>
    <s v="Smartphone"/>
    <n v="10"/>
    <n v="18000"/>
    <x v="4"/>
    <x v="14"/>
    <n v="40678.07"/>
    <x v="1"/>
    <x v="0"/>
  </r>
  <r>
    <s v="ORD-0436"/>
    <s v="2024-02-24"/>
    <x v="8"/>
    <s v="2024"/>
    <s v="Customer_030"/>
    <x v="2"/>
    <x v="0"/>
    <s v="Haryana"/>
    <x v="3"/>
    <s v="Smartphone"/>
    <n v="6"/>
    <n v="18000"/>
    <x v="0"/>
    <x v="127"/>
    <n v="27636.19"/>
    <x v="0"/>
    <x v="0"/>
  </r>
  <r>
    <s v="ORD-0437"/>
    <s v="2024-05-08"/>
    <x v="9"/>
    <s v="2024"/>
    <s v="Customer_091"/>
    <x v="2"/>
    <x v="1"/>
    <s v="Jharkhand"/>
    <x v="1"/>
    <s v="T-Shirt"/>
    <n v="7"/>
    <n v="499"/>
    <x v="2"/>
    <x v="319"/>
    <n v="866.37"/>
    <x v="0"/>
    <x v="0"/>
  </r>
  <r>
    <s v="ORD-0438"/>
    <s v="2024-08-27"/>
    <x v="7"/>
    <s v="2024"/>
    <s v="Customer_071"/>
    <x v="0"/>
    <x v="1"/>
    <s v="Jharkhand"/>
    <x v="1"/>
    <s v="Jacket"/>
    <n v="3"/>
    <n v="1999"/>
    <x v="3"/>
    <x v="315"/>
    <n v="834.16"/>
    <x v="1"/>
    <x v="0"/>
  </r>
  <r>
    <s v="ORD-0439"/>
    <s v="2024-11-22"/>
    <x v="1"/>
    <s v="2024"/>
    <s v="Customer_024"/>
    <x v="0"/>
    <x v="2"/>
    <s v="Andhra Pradesh"/>
    <x v="0"/>
    <s v="Bookshelf"/>
    <n v="9"/>
    <n v="3200"/>
    <x v="2"/>
    <x v="320"/>
    <n v="5251.43"/>
    <x v="1"/>
    <x v="1"/>
  </r>
  <r>
    <s v="ORD-0440"/>
    <s v="2024-12-15"/>
    <x v="0"/>
    <s v="2024"/>
    <s v="Customer_020"/>
    <x v="0"/>
    <x v="1"/>
    <s v="Odisha"/>
    <x v="0"/>
    <s v="Office Chair"/>
    <n v="9"/>
    <n v="8500"/>
    <x v="4"/>
    <x v="321"/>
    <n v="8535.49"/>
    <x v="1"/>
    <x v="0"/>
  </r>
  <r>
    <s v="ORD-0441"/>
    <s v="2024-01-23"/>
    <x v="11"/>
    <s v="2024"/>
    <s v="Customer_005"/>
    <x v="1"/>
    <x v="1"/>
    <s v="Jharkhand"/>
    <x v="0"/>
    <s v="Office Chair"/>
    <n v="2"/>
    <n v="8500"/>
    <x v="3"/>
    <x v="115"/>
    <n v="3507.45"/>
    <x v="0"/>
    <x v="0"/>
  </r>
  <r>
    <s v="ORD-0442"/>
    <s v="2024-09-26"/>
    <x v="5"/>
    <s v="2024"/>
    <s v="Customer_047"/>
    <x v="1"/>
    <x v="3"/>
    <s v="Gujarat"/>
    <x v="3"/>
    <s v="Smartphone"/>
    <n v="10"/>
    <n v="18000"/>
    <x v="4"/>
    <x v="14"/>
    <n v="39418.730000000003"/>
    <x v="1"/>
    <x v="0"/>
  </r>
  <r>
    <s v="ORD-0443"/>
    <s v="2024-02-01"/>
    <x v="8"/>
    <s v="2024"/>
    <s v="Customer_096"/>
    <x v="0"/>
    <x v="0"/>
    <s v="Delhi"/>
    <x v="1"/>
    <s v="Saree"/>
    <n v="2"/>
    <n v="2499"/>
    <x v="4"/>
    <x v="322"/>
    <n v="1258.67"/>
    <x v="1"/>
    <x v="1"/>
  </r>
  <r>
    <s v="ORD-0444"/>
    <s v="2024-02-06"/>
    <x v="8"/>
    <s v="2024"/>
    <s v="Customer_028"/>
    <x v="1"/>
    <x v="3"/>
    <s v="Rajasthan"/>
    <x v="3"/>
    <s v="Tablet"/>
    <n v="5"/>
    <n v="15000"/>
    <x v="3"/>
    <x v="323"/>
    <n v="5458.58"/>
    <x v="1"/>
    <x v="1"/>
  </r>
  <r>
    <s v="ORD-0445"/>
    <s v="2024-12-02"/>
    <x v="0"/>
    <s v="2024"/>
    <s v="Customer_081"/>
    <x v="0"/>
    <x v="0"/>
    <s v="Delhi"/>
    <x v="1"/>
    <s v="Jacket"/>
    <n v="7"/>
    <n v="1999"/>
    <x v="0"/>
    <x v="324"/>
    <n v="1756.61"/>
    <x v="0"/>
    <x v="1"/>
  </r>
  <r>
    <s v="ORD-0446"/>
    <s v="2024-03-26"/>
    <x v="10"/>
    <s v="2024"/>
    <s v="Customer_052"/>
    <x v="0"/>
    <x v="3"/>
    <s v="Maharashtra"/>
    <x v="4"/>
    <s v="Yoga Mat"/>
    <n v="8"/>
    <n v="600"/>
    <x v="4"/>
    <x v="264"/>
    <n v="1298.92"/>
    <x v="0"/>
    <x v="0"/>
  </r>
  <r>
    <s v="ORD-0447"/>
    <s v="2024-07-30"/>
    <x v="3"/>
    <s v="2024"/>
    <s v="Customer_042"/>
    <x v="0"/>
    <x v="2"/>
    <s v="Andhra Pradesh"/>
    <x v="0"/>
    <s v="Bookshelf"/>
    <n v="9"/>
    <n v="3200"/>
    <x v="2"/>
    <x v="320"/>
    <n v="7986.23"/>
    <x v="1"/>
    <x v="0"/>
  </r>
  <r>
    <s v="ORD-0448"/>
    <s v="2024-07-22"/>
    <x v="3"/>
    <s v="2024"/>
    <s v="Customer_005"/>
    <x v="0"/>
    <x v="2"/>
    <s v="Andhra Pradesh"/>
    <x v="4"/>
    <s v="Yoga Mat"/>
    <n v="6"/>
    <n v="600"/>
    <x v="4"/>
    <x v="57"/>
    <n v="614.52"/>
    <x v="0"/>
    <x v="1"/>
  </r>
  <r>
    <s v="ORD-0449"/>
    <s v="2024-06-10"/>
    <x v="2"/>
    <s v="2024"/>
    <s v="Customer_036"/>
    <x v="0"/>
    <x v="0"/>
    <s v="Punjab"/>
    <x v="0"/>
    <s v="Office Chair"/>
    <n v="5"/>
    <n v="8500"/>
    <x v="0"/>
    <x v="202"/>
    <n v="5571.84"/>
    <x v="0"/>
    <x v="1"/>
  </r>
  <r>
    <s v="ORD-0450"/>
    <s v="2024-07-06"/>
    <x v="3"/>
    <s v="2024"/>
    <s v="Customer_033"/>
    <x v="1"/>
    <x v="2"/>
    <s v="Tamil Nadu"/>
    <x v="3"/>
    <s v="Smart TV"/>
    <n v="6"/>
    <n v="32000"/>
    <x v="0"/>
    <x v="54"/>
    <n v="21408.33"/>
    <x v="0"/>
    <x v="0"/>
  </r>
  <r>
    <s v="ORD-0451"/>
    <s v="2024-03-29"/>
    <x v="10"/>
    <s v="2024"/>
    <s v="Customer_090"/>
    <x v="0"/>
    <x v="0"/>
    <s v="Uttar Pradesh"/>
    <x v="4"/>
    <s v="Football"/>
    <n v="2"/>
    <n v="800"/>
    <x v="2"/>
    <x v="255"/>
    <n v="423.48"/>
    <x v="1"/>
    <x v="0"/>
  </r>
  <r>
    <s v="ORD-0452"/>
    <s v="2024-06-20"/>
    <x v="2"/>
    <s v="2024"/>
    <s v="Customer_054"/>
    <x v="2"/>
    <x v="0"/>
    <s v="Haryana"/>
    <x v="3"/>
    <s v="Tablet"/>
    <n v="7"/>
    <n v="15000"/>
    <x v="1"/>
    <x v="325"/>
    <n v="30516.46"/>
    <x v="1"/>
    <x v="1"/>
  </r>
  <r>
    <s v="ORD-0453"/>
    <s v="2024-01-22"/>
    <x v="11"/>
    <s v="2024"/>
    <s v="Customer_073"/>
    <x v="0"/>
    <x v="0"/>
    <s v="Punjab"/>
    <x v="4"/>
    <s v="Cricket Bat"/>
    <n v="7"/>
    <n v="1500"/>
    <x v="1"/>
    <x v="326"/>
    <n v="1704.06"/>
    <x v="1"/>
    <x v="0"/>
  </r>
  <r>
    <s v="ORD-0454"/>
    <s v="2024-02-16"/>
    <x v="8"/>
    <s v="2024"/>
    <s v="Customer_038"/>
    <x v="2"/>
    <x v="2"/>
    <s v="Karnataka"/>
    <x v="3"/>
    <s v="Smart TV"/>
    <n v="8"/>
    <n v="32000"/>
    <x v="3"/>
    <x v="327"/>
    <n v="48193.29"/>
    <x v="0"/>
    <x v="0"/>
  </r>
  <r>
    <s v="ORD-0455"/>
    <s v="2024-10-07"/>
    <x v="6"/>
    <s v="2024"/>
    <s v="Customer_011"/>
    <x v="2"/>
    <x v="2"/>
    <s v="Karnataka"/>
    <x v="0"/>
    <s v="Office Chair"/>
    <n v="8"/>
    <n v="8500"/>
    <x v="3"/>
    <x v="328"/>
    <n v="15299.19"/>
    <x v="1"/>
    <x v="0"/>
  </r>
  <r>
    <s v="ORD-0456"/>
    <s v="2024-11-29"/>
    <x v="1"/>
    <s v="2024"/>
    <s v="Customer_079"/>
    <x v="0"/>
    <x v="3"/>
    <s v="Gujarat"/>
    <x v="1"/>
    <s v="Saree"/>
    <n v="9"/>
    <n v="2499"/>
    <x v="0"/>
    <x v="329"/>
    <n v="4523.76"/>
    <x v="0"/>
    <x v="1"/>
  </r>
  <r>
    <s v="ORD-0457"/>
    <s v="2024-10-21"/>
    <x v="6"/>
    <s v="2024"/>
    <s v="Customer_086"/>
    <x v="1"/>
    <x v="2"/>
    <s v="Karnataka"/>
    <x v="3"/>
    <s v="Headphones"/>
    <n v="7"/>
    <n v="2500"/>
    <x v="2"/>
    <x v="75"/>
    <n v="4171.8500000000004"/>
    <x v="0"/>
    <x v="0"/>
  </r>
  <r>
    <s v="ORD-0458"/>
    <s v="2024-06-05"/>
    <x v="2"/>
    <s v="2024"/>
    <s v="Customer_079"/>
    <x v="2"/>
    <x v="1"/>
    <s v="Bihar"/>
    <x v="1"/>
    <s v="Kurta"/>
    <n v="6"/>
    <n v="799"/>
    <x v="3"/>
    <x v="330"/>
    <n v="985.5"/>
    <x v="0"/>
    <x v="0"/>
  </r>
  <r>
    <s v="ORD-0459"/>
    <s v="2024-03-20"/>
    <x v="10"/>
    <s v="2024"/>
    <s v="Customer_095"/>
    <x v="1"/>
    <x v="3"/>
    <s v="Gujarat"/>
    <x v="2"/>
    <s v="Rice (5kg)"/>
    <n v="4"/>
    <n v="350"/>
    <x v="0"/>
    <x v="331"/>
    <n v="352.51"/>
    <x v="0"/>
    <x v="0"/>
  </r>
  <r>
    <s v="ORD-0460"/>
    <s v="2024-01-12"/>
    <x v="11"/>
    <s v="2024"/>
    <s v="Customer_095"/>
    <x v="1"/>
    <x v="2"/>
    <s v="Kerala"/>
    <x v="3"/>
    <s v="Headphones"/>
    <n v="2"/>
    <n v="2500"/>
    <x v="2"/>
    <x v="153"/>
    <n v="906.82"/>
    <x v="1"/>
    <x v="0"/>
  </r>
  <r>
    <s v="ORD-0461"/>
    <s v="2024-12-08"/>
    <x v="0"/>
    <s v="2024"/>
    <s v="Customer_075"/>
    <x v="2"/>
    <x v="2"/>
    <s v="Kerala"/>
    <x v="4"/>
    <s v="Dumbbells"/>
    <n v="10"/>
    <n v="1200"/>
    <x v="0"/>
    <x v="189"/>
    <n v="3051.43"/>
    <x v="0"/>
    <x v="1"/>
  </r>
  <r>
    <s v="ORD-0462"/>
    <s v="2024-11-12"/>
    <x v="1"/>
    <s v="2024"/>
    <s v="Customer_060"/>
    <x v="1"/>
    <x v="0"/>
    <s v="Haryana"/>
    <x v="1"/>
    <s v="T-Shirt"/>
    <n v="5"/>
    <n v="499"/>
    <x v="0"/>
    <x v="332"/>
    <n v="694.67"/>
    <x v="1"/>
    <x v="0"/>
  </r>
  <r>
    <s v="ORD-0463"/>
    <s v="2024-11-28"/>
    <x v="1"/>
    <s v="2024"/>
    <s v="Customer_049"/>
    <x v="1"/>
    <x v="0"/>
    <s v="Delhi"/>
    <x v="2"/>
    <s v="Oil Can"/>
    <n v="6"/>
    <n v="220"/>
    <x v="1"/>
    <x v="89"/>
    <n v="112.4"/>
    <x v="1"/>
    <x v="0"/>
  </r>
  <r>
    <s v="ORD-0464"/>
    <s v="2024-09-13"/>
    <x v="5"/>
    <s v="2024"/>
    <s v="Customer_092"/>
    <x v="0"/>
    <x v="0"/>
    <s v="Haryana"/>
    <x v="2"/>
    <s v="Flour Pack"/>
    <n v="9"/>
    <n v="120"/>
    <x v="1"/>
    <x v="103"/>
    <n v="140.76"/>
    <x v="1"/>
    <x v="0"/>
  </r>
  <r>
    <s v="ORD-0465"/>
    <s v="2024-12-16"/>
    <x v="0"/>
    <s v="2024"/>
    <s v="Customer_081"/>
    <x v="2"/>
    <x v="2"/>
    <s v="Kerala"/>
    <x v="0"/>
    <s v="Sofa"/>
    <n v="7"/>
    <n v="22000"/>
    <x v="0"/>
    <x v="333"/>
    <n v="12429.72"/>
    <x v="1"/>
    <x v="0"/>
  </r>
  <r>
    <s v="ORD-0466"/>
    <s v="2024-04-25"/>
    <x v="4"/>
    <s v="2024"/>
    <s v="Customer_051"/>
    <x v="2"/>
    <x v="1"/>
    <s v="West Bengal"/>
    <x v="0"/>
    <s v="Sofa"/>
    <n v="1"/>
    <n v="22000"/>
    <x v="3"/>
    <x v="334"/>
    <n v="5918.2"/>
    <x v="0"/>
    <x v="0"/>
  </r>
  <r>
    <s v="ORD-0467"/>
    <s v="2024-03-19"/>
    <x v="10"/>
    <s v="2024"/>
    <s v="Customer_078"/>
    <x v="2"/>
    <x v="0"/>
    <s v="Uttar Pradesh"/>
    <x v="4"/>
    <s v="Badminton Set"/>
    <n v="4"/>
    <n v="950"/>
    <x v="4"/>
    <x v="335"/>
    <n v="468.02"/>
    <x v="1"/>
    <x v="0"/>
  </r>
  <r>
    <s v="ORD-0468"/>
    <s v="2024-06-07"/>
    <x v="2"/>
    <s v="2024"/>
    <s v="Customer_099"/>
    <x v="2"/>
    <x v="2"/>
    <s v="Karnataka"/>
    <x v="1"/>
    <s v="Jacket"/>
    <n v="9"/>
    <n v="1999"/>
    <x v="0"/>
    <x v="147"/>
    <n v="5347.89"/>
    <x v="0"/>
    <x v="0"/>
  </r>
  <r>
    <s v="ORD-0469"/>
    <s v="2024-03-15"/>
    <x v="10"/>
    <s v="2024"/>
    <s v="Customer_053"/>
    <x v="2"/>
    <x v="2"/>
    <s v="Kerala"/>
    <x v="3"/>
    <s v="Tablet"/>
    <n v="9"/>
    <n v="15000"/>
    <x v="1"/>
    <x v="336"/>
    <n v="17511.73"/>
    <x v="0"/>
    <x v="1"/>
  </r>
  <r>
    <s v="ORD-0470"/>
    <s v="2024-01-14"/>
    <x v="11"/>
    <s v="2024"/>
    <s v="Customer_073"/>
    <x v="0"/>
    <x v="1"/>
    <s v="Jharkhand"/>
    <x v="0"/>
    <s v="Study Table"/>
    <n v="4"/>
    <n v="5500"/>
    <x v="1"/>
    <x v="29"/>
    <n v="2541.38"/>
    <x v="1"/>
    <x v="0"/>
  </r>
  <r>
    <s v="ORD-0471"/>
    <s v="2024-11-05"/>
    <x v="1"/>
    <s v="2024"/>
    <s v="Customer_084"/>
    <x v="0"/>
    <x v="2"/>
    <s v="Karnataka"/>
    <x v="3"/>
    <s v="Headphones"/>
    <n v="2"/>
    <n v="2500"/>
    <x v="4"/>
    <x v="300"/>
    <n v="493.86"/>
    <x v="1"/>
    <x v="0"/>
  </r>
  <r>
    <s v="ORD-0472"/>
    <s v="2024-07-28"/>
    <x v="3"/>
    <s v="2024"/>
    <s v="Customer_053"/>
    <x v="2"/>
    <x v="3"/>
    <s v="Goa"/>
    <x v="2"/>
    <s v="Dal Pack"/>
    <n v="3"/>
    <n v="180"/>
    <x v="0"/>
    <x v="337"/>
    <n v="72.38"/>
    <x v="0"/>
    <x v="0"/>
  </r>
  <r>
    <s v="ORD-0473"/>
    <s v="2024-06-15"/>
    <x v="2"/>
    <s v="2024"/>
    <s v="Customer_055"/>
    <x v="1"/>
    <x v="2"/>
    <s v="Karnataka"/>
    <x v="3"/>
    <s v="Laptop"/>
    <n v="8"/>
    <n v="45000"/>
    <x v="3"/>
    <x v="3"/>
    <n v="61137.96"/>
    <x v="1"/>
    <x v="0"/>
  </r>
  <r>
    <s v="ORD-0474"/>
    <s v="2024-09-25"/>
    <x v="5"/>
    <s v="2024"/>
    <s v="Customer_014"/>
    <x v="0"/>
    <x v="0"/>
    <s v="Uttar Pradesh"/>
    <x v="0"/>
    <s v="Sofa"/>
    <n v="10"/>
    <n v="22000"/>
    <x v="3"/>
    <x v="311"/>
    <n v="42297.65"/>
    <x v="0"/>
    <x v="0"/>
  </r>
  <r>
    <s v="ORD-0475"/>
    <s v="2024-09-21"/>
    <x v="5"/>
    <s v="2024"/>
    <s v="Customer_038"/>
    <x v="1"/>
    <x v="0"/>
    <s v="Punjab"/>
    <x v="4"/>
    <s v="Badminton Set"/>
    <n v="7"/>
    <n v="950"/>
    <x v="1"/>
    <x v="338"/>
    <n v="1533.35"/>
    <x v="0"/>
    <x v="0"/>
  </r>
  <r>
    <s v="ORD-0476"/>
    <s v="2024-01-28"/>
    <x v="11"/>
    <s v="2024"/>
    <s v="Customer_083"/>
    <x v="2"/>
    <x v="1"/>
    <s v="Bihar"/>
    <x v="2"/>
    <s v="Dal Pack"/>
    <n v="7"/>
    <n v="180"/>
    <x v="2"/>
    <x v="306"/>
    <n v="278.45"/>
    <x v="0"/>
    <x v="0"/>
  </r>
  <r>
    <s v="ORD-0477"/>
    <s v="2024-08-18"/>
    <x v="7"/>
    <s v="2024"/>
    <s v="Customer_059"/>
    <x v="1"/>
    <x v="0"/>
    <s v="Punjab"/>
    <x v="4"/>
    <s v="Badminton Set"/>
    <n v="3"/>
    <n v="950"/>
    <x v="4"/>
    <x v="339"/>
    <n v="464.3"/>
    <x v="0"/>
    <x v="0"/>
  </r>
  <r>
    <s v="ORD-0478"/>
    <s v="2024-03-04"/>
    <x v="10"/>
    <s v="2024"/>
    <s v="Customer_091"/>
    <x v="1"/>
    <x v="2"/>
    <s v="Andhra Pradesh"/>
    <x v="3"/>
    <s v="Headphones"/>
    <n v="6"/>
    <n v="2500"/>
    <x v="0"/>
    <x v="340"/>
    <n v="3903.95"/>
    <x v="0"/>
    <x v="0"/>
  </r>
  <r>
    <s v="ORD-0479"/>
    <s v="2024-07-12"/>
    <x v="3"/>
    <s v="2024"/>
    <s v="Customer_099"/>
    <x v="1"/>
    <x v="1"/>
    <s v="West Bengal"/>
    <x v="4"/>
    <s v="Dumbbells"/>
    <n v="9"/>
    <n v="1200"/>
    <x v="3"/>
    <x v="341"/>
    <n v="2906.79"/>
    <x v="1"/>
    <x v="0"/>
  </r>
  <r>
    <s v="ORD-0480"/>
    <s v="2024-06-07"/>
    <x v="2"/>
    <s v="2024"/>
    <s v="Customer_081"/>
    <x v="2"/>
    <x v="1"/>
    <s v="Odisha"/>
    <x v="1"/>
    <s v="Jeans"/>
    <n v="3"/>
    <n v="1299"/>
    <x v="1"/>
    <x v="118"/>
    <n v="753.24"/>
    <x v="1"/>
    <x v="0"/>
  </r>
  <r>
    <s v="ORD-0481"/>
    <s v="2024-09-12"/>
    <x v="5"/>
    <s v="2024"/>
    <s v="Customer_064"/>
    <x v="0"/>
    <x v="2"/>
    <s v="Karnataka"/>
    <x v="3"/>
    <s v="Tablet"/>
    <n v="5"/>
    <n v="15000"/>
    <x v="1"/>
    <x v="342"/>
    <n v="15287.51"/>
    <x v="0"/>
    <x v="0"/>
  </r>
  <r>
    <s v="ORD-0482"/>
    <s v="2024-05-05"/>
    <x v="9"/>
    <s v="2024"/>
    <s v="Customer_081"/>
    <x v="0"/>
    <x v="3"/>
    <s v="Goa"/>
    <x v="2"/>
    <s v="Spices Kit"/>
    <n v="2"/>
    <n v="150"/>
    <x v="3"/>
    <x v="343"/>
    <n v="58.09"/>
    <x v="1"/>
    <x v="0"/>
  </r>
  <r>
    <s v="ORD-0483"/>
    <s v="2024-01-17"/>
    <x v="11"/>
    <s v="2024"/>
    <s v="Customer_012"/>
    <x v="2"/>
    <x v="2"/>
    <s v="Tamil Nadu"/>
    <x v="1"/>
    <s v="Jeans"/>
    <n v="1"/>
    <n v="1299"/>
    <x v="2"/>
    <x v="344"/>
    <n v="105.12"/>
    <x v="1"/>
    <x v="0"/>
  </r>
  <r>
    <s v="ORD-0484"/>
    <s v="2024-10-14"/>
    <x v="6"/>
    <s v="2024"/>
    <s v="Customer_096"/>
    <x v="2"/>
    <x v="3"/>
    <s v="Gujarat"/>
    <x v="1"/>
    <s v="Kurta"/>
    <n v="10"/>
    <n v="799"/>
    <x v="3"/>
    <x v="345"/>
    <n v="1499.03"/>
    <x v="0"/>
    <x v="0"/>
  </r>
  <r>
    <s v="ORD-0485"/>
    <s v="2024-08-06"/>
    <x v="7"/>
    <s v="2024"/>
    <s v="Customer_061"/>
    <x v="2"/>
    <x v="0"/>
    <s v="Delhi"/>
    <x v="0"/>
    <s v="Bookshelf"/>
    <n v="6"/>
    <n v="3200"/>
    <x v="4"/>
    <x v="346"/>
    <n v="4920.01"/>
    <x v="0"/>
    <x v="0"/>
  </r>
  <r>
    <s v="ORD-0486"/>
    <s v="2024-11-09"/>
    <x v="1"/>
    <s v="2024"/>
    <s v="Customer_074"/>
    <x v="1"/>
    <x v="1"/>
    <s v="Bihar"/>
    <x v="4"/>
    <s v="Dumbbells"/>
    <n v="9"/>
    <n v="1200"/>
    <x v="0"/>
    <x v="347"/>
    <n v="2748.39"/>
    <x v="0"/>
    <x v="0"/>
  </r>
  <r>
    <s v="ORD-0487"/>
    <s v="2024-05-12"/>
    <x v="9"/>
    <s v="2024"/>
    <s v="Customer_079"/>
    <x v="1"/>
    <x v="0"/>
    <s v="Uttar Pradesh"/>
    <x v="4"/>
    <s v="Yoga Mat"/>
    <n v="7"/>
    <n v="600"/>
    <x v="3"/>
    <x v="348"/>
    <n v="1037.92"/>
    <x v="1"/>
    <x v="0"/>
  </r>
  <r>
    <s v="ORD-0488"/>
    <s v="2024-01-01"/>
    <x v="11"/>
    <s v="2024"/>
    <s v="Customer_060"/>
    <x v="1"/>
    <x v="3"/>
    <s v="Goa"/>
    <x v="1"/>
    <s v="Jacket"/>
    <n v="4"/>
    <n v="1999"/>
    <x v="2"/>
    <x v="349"/>
    <n v="2478.44"/>
    <x v="0"/>
    <x v="0"/>
  </r>
  <r>
    <s v="ORD-0489"/>
    <s v="2024-10-13"/>
    <x v="6"/>
    <s v="2024"/>
    <s v="Customer_082"/>
    <x v="1"/>
    <x v="0"/>
    <s v="Punjab"/>
    <x v="4"/>
    <s v="Dumbbells"/>
    <n v="7"/>
    <n v="1200"/>
    <x v="1"/>
    <x v="23"/>
    <n v="1429.04"/>
    <x v="0"/>
    <x v="0"/>
  </r>
  <r>
    <s v="ORD-0490"/>
    <s v="2024-01-04"/>
    <x v="11"/>
    <s v="2024"/>
    <s v="Customer_043"/>
    <x v="0"/>
    <x v="1"/>
    <s v="Bihar"/>
    <x v="3"/>
    <s v="Headphones"/>
    <n v="5"/>
    <n v="2500"/>
    <x v="3"/>
    <x v="350"/>
    <n v="2284.98"/>
    <x v="0"/>
    <x v="0"/>
  </r>
  <r>
    <s v="ORD-0491"/>
    <s v="2024-01-19"/>
    <x v="11"/>
    <s v="2024"/>
    <s v="Customer_020"/>
    <x v="2"/>
    <x v="0"/>
    <s v="Punjab"/>
    <x v="1"/>
    <s v="Kurta"/>
    <n v="6"/>
    <n v="799"/>
    <x v="4"/>
    <x v="144"/>
    <n v="1333.98"/>
    <x v="0"/>
    <x v="0"/>
  </r>
  <r>
    <s v="ORD-0492"/>
    <s v="2024-12-13"/>
    <x v="0"/>
    <s v="2024"/>
    <s v="Customer_069"/>
    <x v="0"/>
    <x v="1"/>
    <s v="Jharkhand"/>
    <x v="2"/>
    <s v="Rice (5kg)"/>
    <n v="9"/>
    <n v="350"/>
    <x v="2"/>
    <x v="351"/>
    <n v="659.24"/>
    <x v="1"/>
    <x v="0"/>
  </r>
  <r>
    <s v="ORD-0493"/>
    <s v="2024-07-11"/>
    <x v="3"/>
    <s v="2024"/>
    <s v="Customer_078"/>
    <x v="0"/>
    <x v="1"/>
    <s v="Bihar"/>
    <x v="3"/>
    <s v="Laptop"/>
    <n v="5"/>
    <n v="45000"/>
    <x v="1"/>
    <x v="352"/>
    <n v="38603.51"/>
    <x v="0"/>
    <x v="0"/>
  </r>
  <r>
    <s v="ORD-0494"/>
    <s v="2024-05-01"/>
    <x v="9"/>
    <s v="2024"/>
    <s v="Customer_039"/>
    <x v="2"/>
    <x v="0"/>
    <s v="Haryana"/>
    <x v="0"/>
    <s v="Office Chair"/>
    <n v="5"/>
    <n v="8500"/>
    <x v="4"/>
    <x v="353"/>
    <n v="3736.6"/>
    <x v="1"/>
    <x v="0"/>
  </r>
  <r>
    <s v="ORD-0495"/>
    <s v="2024-08-15"/>
    <x v="7"/>
    <s v="2024"/>
    <s v="Customer_065"/>
    <x v="2"/>
    <x v="1"/>
    <s v="Odisha"/>
    <x v="3"/>
    <s v="Headphones"/>
    <n v="1"/>
    <n v="2500"/>
    <x v="0"/>
    <x v="354"/>
    <n v="775.69"/>
    <x v="0"/>
    <x v="0"/>
  </r>
  <r>
    <s v="ORD-0496"/>
    <s v="2024-02-20"/>
    <x v="8"/>
    <s v="2024"/>
    <s v="Customer_093"/>
    <x v="1"/>
    <x v="1"/>
    <s v="Jharkhand"/>
    <x v="4"/>
    <s v="Yoga Mat"/>
    <n v="6"/>
    <n v="600"/>
    <x v="0"/>
    <x v="53"/>
    <n v="984.14"/>
    <x v="0"/>
    <x v="0"/>
  </r>
  <r>
    <s v="ORD-0497"/>
    <s v="2024-06-19"/>
    <x v="2"/>
    <s v="2024"/>
    <s v="Customer_014"/>
    <x v="1"/>
    <x v="3"/>
    <s v="Maharashtra"/>
    <x v="3"/>
    <s v="Headphones"/>
    <n v="1"/>
    <n v="2500"/>
    <x v="3"/>
    <x v="355"/>
    <n v="630.80999999999995"/>
    <x v="1"/>
    <x v="0"/>
  </r>
  <r>
    <s v="ORD-0498"/>
    <s v="2024-05-26"/>
    <x v="9"/>
    <s v="2024"/>
    <s v="Customer_041"/>
    <x v="0"/>
    <x v="1"/>
    <s v="West Bengal"/>
    <x v="4"/>
    <s v="Yoga Mat"/>
    <n v="4"/>
    <n v="600"/>
    <x v="2"/>
    <x v="151"/>
    <n v="289.76"/>
    <x v="1"/>
    <x v="0"/>
  </r>
  <r>
    <s v="ORD-0499"/>
    <s v="2024-11-14"/>
    <x v="1"/>
    <s v="2024"/>
    <s v="Customer_070"/>
    <x v="1"/>
    <x v="0"/>
    <s v="Haryana"/>
    <x v="1"/>
    <s v="Jeans"/>
    <n v="5"/>
    <n v="1299"/>
    <x v="1"/>
    <x v="356"/>
    <n v="546.35"/>
    <x v="0"/>
    <x v="0"/>
  </r>
  <r>
    <s v="ORD-0500"/>
    <s v="2024-06-08"/>
    <x v="2"/>
    <s v="2024"/>
    <s v="Customer_057"/>
    <x v="0"/>
    <x v="1"/>
    <s v="Bihar"/>
    <x v="1"/>
    <s v="Kurta"/>
    <n v="10"/>
    <n v="799"/>
    <x v="0"/>
    <x v="357"/>
    <n v="958.2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81CE8-0C57-4A35-B626-A00D826A96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J24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</pivotFields>
  <rowFields count="1">
    <field x="12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(₹)" fld="14" baseField="0" baseItem="0"/>
    <dataField name="Sum of Total Sales (₹)" fld="13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A9DB0-5771-4935-8F20-F161E91620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H3:I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um of Profit (₹)" fld="14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9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23E64-EC0F-42B1-9C94-0AA808FA87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3:F8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6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 (₹)" fld="13" baseField="0" baseItem="0"/>
    <dataField name="Sum of Profit (₹)" fld="14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693E8-90AD-4DCB-A2D5-A820694C02C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H12:K15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59">
        <item x="133"/>
        <item x="112"/>
        <item x="286"/>
        <item x="218"/>
        <item x="86"/>
        <item x="39"/>
        <item x="232"/>
        <item x="28"/>
        <item x="343"/>
        <item x="50"/>
        <item x="97"/>
        <item x="207"/>
        <item x="79"/>
        <item x="236"/>
        <item x="139"/>
        <item x="83"/>
        <item x="192"/>
        <item x="173"/>
        <item x="308"/>
        <item x="47"/>
        <item x="156"/>
        <item x="34"/>
        <item x="141"/>
        <item x="196"/>
        <item x="66"/>
        <item x="149"/>
        <item x="337"/>
        <item x="198"/>
        <item x="258"/>
        <item x="6"/>
        <item x="200"/>
        <item x="158"/>
        <item x="110"/>
        <item x="318"/>
        <item x="203"/>
        <item x="26"/>
        <item x="24"/>
        <item x="145"/>
        <item x="113"/>
        <item x="287"/>
        <item x="259"/>
        <item x="40"/>
        <item x="130"/>
        <item x="76"/>
        <item x="92"/>
        <item x="238"/>
        <item x="247"/>
        <item x="157"/>
        <item x="275"/>
        <item x="187"/>
        <item x="249"/>
        <item x="100"/>
        <item x="257"/>
        <item x="296"/>
        <item x="159"/>
        <item x="48"/>
        <item x="2"/>
        <item x="90"/>
        <item x="235"/>
        <item x="103"/>
        <item x="243"/>
        <item x="306"/>
        <item x="344"/>
        <item x="215"/>
        <item x="291"/>
        <item x="18"/>
        <item x="72"/>
        <item x="299"/>
        <item x="197"/>
        <item x="160"/>
        <item x="245"/>
        <item x="89"/>
        <item x="331"/>
        <item x="301"/>
        <item x="84"/>
        <item x="46"/>
        <item x="289"/>
        <item x="316"/>
        <item x="255"/>
        <item x="45"/>
        <item x="269"/>
        <item x="123"/>
        <item x="312"/>
        <item x="55"/>
        <item x="225"/>
        <item x="182"/>
        <item x="128"/>
        <item x="35"/>
        <item x="43"/>
        <item x="221"/>
        <item x="302"/>
        <item x="94"/>
        <item x="199"/>
        <item x="132"/>
        <item x="44"/>
        <item x="176"/>
        <item x="172"/>
        <item x="355"/>
        <item x="290"/>
        <item x="114"/>
        <item x="229"/>
        <item x="151"/>
        <item x="266"/>
        <item x="77"/>
        <item x="178"/>
        <item x="15"/>
        <item x="332"/>
        <item x="30"/>
        <item x="354"/>
        <item x="10"/>
        <item x="339"/>
        <item x="109"/>
        <item x="170"/>
        <item x="281"/>
        <item x="305"/>
        <item x="313"/>
        <item x="283"/>
        <item x="261"/>
        <item x="351"/>
        <item x="95"/>
        <item x="204"/>
        <item x="152"/>
        <item x="162"/>
        <item x="57"/>
        <item x="119"/>
        <item x="319"/>
        <item x="21"/>
        <item x="163"/>
        <item x="155"/>
        <item x="335"/>
        <item x="348"/>
        <item x="272"/>
        <item x="53"/>
        <item x="171"/>
        <item x="219"/>
        <item x="104"/>
        <item x="125"/>
        <item x="8"/>
        <item x="62"/>
        <item x="270"/>
        <item x="330"/>
        <item x="118"/>
        <item x="297"/>
        <item x="154"/>
        <item x="217"/>
        <item x="144"/>
        <item x="264"/>
        <item x="233"/>
        <item x="322"/>
        <item x="300"/>
        <item x="310"/>
        <item x="288"/>
        <item x="153"/>
        <item x="120"/>
        <item x="216"/>
        <item x="250"/>
        <item x="315"/>
        <item x="63"/>
        <item x="206"/>
        <item x="122"/>
        <item x="295"/>
        <item x="177"/>
        <item x="116"/>
        <item x="285"/>
        <item x="69"/>
        <item x="32"/>
        <item x="304"/>
        <item x="101"/>
        <item x="278"/>
        <item x="164"/>
        <item x="80"/>
        <item x="274"/>
        <item x="184"/>
        <item x="345"/>
        <item x="17"/>
        <item x="201"/>
        <item x="25"/>
        <item x="356"/>
        <item x="338"/>
        <item x="227"/>
        <item x="174"/>
        <item x="267"/>
        <item x="212"/>
        <item x="349"/>
        <item x="230"/>
        <item x="148"/>
        <item x="293"/>
        <item x="357"/>
        <item x="49"/>
        <item x="226"/>
        <item x="253"/>
        <item x="135"/>
        <item x="23"/>
        <item x="91"/>
        <item x="341"/>
        <item x="271"/>
        <item x="279"/>
        <item x="58"/>
        <item x="87"/>
        <item x="234"/>
        <item x="292"/>
        <item x="19"/>
        <item x="276"/>
        <item x="251"/>
        <item x="350"/>
        <item x="347"/>
        <item x="146"/>
        <item x="326"/>
        <item x="303"/>
        <item x="239"/>
        <item x="314"/>
        <item x="189"/>
        <item x="5"/>
        <item x="64"/>
        <item x="165"/>
        <item x="143"/>
        <item x="138"/>
        <item x="298"/>
        <item x="131"/>
        <item x="88"/>
        <item x="205"/>
        <item x="106"/>
        <item x="93"/>
        <item x="324"/>
        <item x="115"/>
        <item x="340"/>
        <item x="194"/>
        <item x="73"/>
        <item x="294"/>
        <item x="75"/>
        <item x="168"/>
        <item x="181"/>
        <item x="346"/>
        <item x="166"/>
        <item x="147"/>
        <item x="210"/>
        <item x="263"/>
        <item x="334"/>
        <item x="12"/>
        <item x="41"/>
        <item x="38"/>
        <item x="254"/>
        <item x="142"/>
        <item x="242"/>
        <item x="1"/>
        <item x="85"/>
        <item x="248"/>
        <item x="0"/>
        <item x="213"/>
        <item x="82"/>
        <item x="329"/>
        <item x="29"/>
        <item x="280"/>
        <item x="195"/>
        <item x="175"/>
        <item x="107"/>
        <item x="317"/>
        <item x="65"/>
        <item x="320"/>
        <item x="237"/>
        <item x="31"/>
        <item x="124"/>
        <item x="22"/>
        <item x="42"/>
        <item x="265"/>
        <item x="27"/>
        <item x="37"/>
        <item x="190"/>
        <item x="231"/>
        <item x="9"/>
        <item x="220"/>
        <item x="150"/>
        <item x="353"/>
        <item x="214"/>
        <item x="202"/>
        <item x="167"/>
        <item x="260"/>
        <item x="246"/>
        <item x="307"/>
        <item x="309"/>
        <item x="11"/>
        <item x="111"/>
        <item x="137"/>
        <item x="209"/>
        <item x="277"/>
        <item x="71"/>
        <item x="33"/>
        <item x="105"/>
        <item x="36"/>
        <item x="117"/>
        <item x="98"/>
        <item x="328"/>
        <item x="52"/>
        <item x="193"/>
        <item x="136"/>
        <item x="140"/>
        <item x="323"/>
        <item x="282"/>
        <item x="60"/>
        <item x="81"/>
        <item x="4"/>
        <item x="321"/>
        <item x="228"/>
        <item x="252"/>
        <item x="134"/>
        <item x="16"/>
        <item x="59"/>
        <item x="342"/>
        <item x="74"/>
        <item x="102"/>
        <item x="211"/>
        <item x="56"/>
        <item x="185"/>
        <item x="244"/>
        <item x="169"/>
        <item x="127"/>
        <item x="224"/>
        <item x="325"/>
        <item x="126"/>
        <item x="51"/>
        <item x="179"/>
        <item x="180"/>
        <item x="262"/>
        <item x="336"/>
        <item x="240"/>
        <item x="67"/>
        <item x="333"/>
        <item x="241"/>
        <item x="223"/>
        <item x="161"/>
        <item x="14"/>
        <item x="99"/>
        <item x="121"/>
        <item x="222"/>
        <item x="311"/>
        <item x="191"/>
        <item x="54"/>
        <item x="268"/>
        <item x="183"/>
        <item x="129"/>
        <item x="327"/>
        <item x="188"/>
        <item x="108"/>
        <item x="273"/>
        <item x="352"/>
        <item x="70"/>
        <item x="96"/>
        <item x="61"/>
        <item x="256"/>
        <item x="186"/>
        <item x="3"/>
        <item x="208"/>
        <item x="20"/>
        <item x="78"/>
        <item x="68"/>
        <item x="284"/>
        <item x="7"/>
        <item x="13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Total Sales (₹)" fld="13" baseField="0" baseItem="0"/>
    <dataField name="Sum of Profit (₹)" fld="14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5" type="button" dataOnly="0" labelOnly="1" outline="0" axis="axisRow" fieldPosition="0"/>
    </format>
    <format dxfId="26">
      <pivotArea dataOnly="0" labelOnly="1" fieldPosition="0">
        <references count="1">
          <reference field="15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707D1-DD28-4435-A24A-2C91930C848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27:G31" firstHeaderRow="0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₹)" fld="13" baseField="0" baseItem="0"/>
    <dataField name="Count of Order ID" fld="0" subtotal="count" baseField="0" baseItem="0"/>
    <dataField name="Sum of Profit (₹)" fld="14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5" type="button" dataOnly="0" labelOnly="1" outline="0" axis="axisRow" fieldPosition="0"/>
    </format>
    <format dxfId="32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6F0A-4E69-4EE3-970E-34B09B18C6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3:M9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6" hier="-1"/>
  </pageFields>
  <dataFields count="1">
    <dataField name="Count of Returns" fld="16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 axis="axisRow" fieldPosition="0"/>
    </format>
    <format dxfId="38">
      <pivotArea dataOnly="0" labelOnly="1" fieldPosition="0">
        <references count="1">
          <reference field="8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B92C-1A3C-42E5-A311-5B5C3802611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1:E24" firstHeaderRow="1" firstDataRow="1" firstDataCol="1"/>
  <pivotFields count="17">
    <pivotField showAll="0"/>
    <pivotField showAll="0"/>
    <pivotField axis="axisRow" showAll="0" sortType="ascending">
      <items count="13">
        <item x="11"/>
        <item x="8"/>
        <item x="10"/>
        <item x="4"/>
        <item x="9"/>
        <item x="2"/>
        <item x="3"/>
        <item x="7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(₹)" fld="13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>
      <pane ySplit="1" topLeftCell="A2" activePane="bottomLeft" state="frozen"/>
      <selection pane="bottomLeft" activeCell="B16" sqref="B16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8" customWidth="1"/>
    <col min="5" max="5" width="15" customWidth="1"/>
    <col min="6" max="6" width="18" customWidth="1"/>
    <col min="7" max="7" width="10" customWidth="1"/>
    <col min="8" max="10" width="18" customWidth="1"/>
    <col min="11" max="11" width="10" customWidth="1"/>
    <col min="12" max="12" width="16" customWidth="1"/>
    <col min="13" max="13" width="12" customWidth="1"/>
    <col min="14" max="14" width="16" customWidth="1"/>
    <col min="15" max="15" width="12" customWidth="1"/>
    <col min="16" max="16" width="14" customWidth="1"/>
    <col min="17" max="17" width="10" customWidth="1"/>
  </cols>
  <sheetData>
    <row r="1" spans="1:1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4</v>
      </c>
      <c r="L2" s="2">
        <v>5500</v>
      </c>
      <c r="M2" s="2">
        <v>5</v>
      </c>
      <c r="N2" s="2">
        <v>20900</v>
      </c>
      <c r="O2" s="2">
        <v>5827.91</v>
      </c>
      <c r="P2" s="2" t="s">
        <v>27</v>
      </c>
      <c r="Q2" s="2" t="s">
        <v>28</v>
      </c>
    </row>
    <row r="3" spans="1:17" x14ac:dyDescent="0.35">
      <c r="A3" s="3" t="s">
        <v>29</v>
      </c>
      <c r="B3" s="3" t="s">
        <v>30</v>
      </c>
      <c r="C3" s="3" t="s">
        <v>31</v>
      </c>
      <c r="D3" s="3" t="s">
        <v>20</v>
      </c>
      <c r="E3" s="3" t="s">
        <v>32</v>
      </c>
      <c r="F3" s="3" t="s">
        <v>33</v>
      </c>
      <c r="G3" s="3" t="s">
        <v>23</v>
      </c>
      <c r="H3" s="3" t="s">
        <v>34</v>
      </c>
      <c r="I3" s="3" t="s">
        <v>35</v>
      </c>
      <c r="J3" s="3" t="s">
        <v>36</v>
      </c>
      <c r="K3" s="3">
        <v>10</v>
      </c>
      <c r="L3" s="3">
        <v>1999</v>
      </c>
      <c r="M3" s="3">
        <v>0</v>
      </c>
      <c r="N3" s="3">
        <v>19990</v>
      </c>
      <c r="O3" s="3">
        <v>4628.41</v>
      </c>
      <c r="P3" s="3" t="s">
        <v>37</v>
      </c>
      <c r="Q3" s="3" t="s">
        <v>28</v>
      </c>
    </row>
    <row r="4" spans="1:17" x14ac:dyDescent="0.35">
      <c r="A4" s="2" t="s">
        <v>38</v>
      </c>
      <c r="B4" s="2" t="s">
        <v>39</v>
      </c>
      <c r="C4" s="2" t="s">
        <v>40</v>
      </c>
      <c r="D4" s="2" t="s">
        <v>20</v>
      </c>
      <c r="E4" s="2" t="s">
        <v>41</v>
      </c>
      <c r="F4" s="2" t="s">
        <v>33</v>
      </c>
      <c r="G4" s="2" t="s">
        <v>23</v>
      </c>
      <c r="H4" s="2" t="s">
        <v>34</v>
      </c>
      <c r="I4" s="2" t="s">
        <v>42</v>
      </c>
      <c r="J4" s="2" t="s">
        <v>43</v>
      </c>
      <c r="K4" s="2">
        <v>5</v>
      </c>
      <c r="L4" s="2">
        <v>220</v>
      </c>
      <c r="M4" s="2">
        <v>5</v>
      </c>
      <c r="N4" s="2">
        <v>1045</v>
      </c>
      <c r="O4" s="2">
        <v>144.35</v>
      </c>
      <c r="P4" s="2" t="s">
        <v>27</v>
      </c>
      <c r="Q4" s="2" t="s">
        <v>28</v>
      </c>
    </row>
    <row r="5" spans="1:17" x14ac:dyDescent="0.35">
      <c r="A5" s="3" t="s">
        <v>44</v>
      </c>
      <c r="B5" s="3" t="s">
        <v>45</v>
      </c>
      <c r="C5" s="3" t="s">
        <v>46</v>
      </c>
      <c r="D5" s="3" t="s">
        <v>20</v>
      </c>
      <c r="E5" s="3" t="s">
        <v>47</v>
      </c>
      <c r="F5" s="3" t="s">
        <v>22</v>
      </c>
      <c r="G5" s="3" t="s">
        <v>48</v>
      </c>
      <c r="H5" s="3" t="s">
        <v>49</v>
      </c>
      <c r="I5" s="3" t="s">
        <v>50</v>
      </c>
      <c r="J5" s="3" t="s">
        <v>51</v>
      </c>
      <c r="K5" s="3">
        <v>9</v>
      </c>
      <c r="L5" s="3">
        <v>32000</v>
      </c>
      <c r="M5" s="3">
        <v>0</v>
      </c>
      <c r="N5" s="3">
        <v>288000</v>
      </c>
      <c r="O5" s="3">
        <v>98709.48</v>
      </c>
      <c r="P5" s="3" t="s">
        <v>27</v>
      </c>
      <c r="Q5" s="3" t="s">
        <v>28</v>
      </c>
    </row>
    <row r="6" spans="1:17" x14ac:dyDescent="0.35">
      <c r="A6" s="2" t="s">
        <v>52</v>
      </c>
      <c r="B6" s="2" t="s">
        <v>53</v>
      </c>
      <c r="C6" s="2" t="s">
        <v>54</v>
      </c>
      <c r="D6" s="2" t="s">
        <v>20</v>
      </c>
      <c r="E6" s="2" t="s">
        <v>55</v>
      </c>
      <c r="F6" s="2" t="s">
        <v>56</v>
      </c>
      <c r="G6" s="2" t="s">
        <v>48</v>
      </c>
      <c r="H6" s="2" t="s">
        <v>57</v>
      </c>
      <c r="I6" s="2" t="s">
        <v>50</v>
      </c>
      <c r="J6" s="2" t="s">
        <v>58</v>
      </c>
      <c r="K6" s="2">
        <v>4</v>
      </c>
      <c r="L6" s="2">
        <v>18000</v>
      </c>
      <c r="M6" s="2">
        <v>10</v>
      </c>
      <c r="N6" s="2">
        <v>64800</v>
      </c>
      <c r="O6" s="2">
        <v>22421.439999999999</v>
      </c>
      <c r="P6" s="2" t="s">
        <v>27</v>
      </c>
      <c r="Q6" s="2" t="s">
        <v>28</v>
      </c>
    </row>
    <row r="7" spans="1:17" x14ac:dyDescent="0.35">
      <c r="A7" s="3" t="s">
        <v>59</v>
      </c>
      <c r="B7" s="3" t="s">
        <v>60</v>
      </c>
      <c r="C7" s="3" t="s">
        <v>19</v>
      </c>
      <c r="D7" s="3" t="s">
        <v>20</v>
      </c>
      <c r="E7" s="3" t="s">
        <v>61</v>
      </c>
      <c r="F7" s="3" t="s">
        <v>22</v>
      </c>
      <c r="G7" s="3" t="s">
        <v>48</v>
      </c>
      <c r="H7" s="3" t="s">
        <v>57</v>
      </c>
      <c r="I7" s="3" t="s">
        <v>25</v>
      </c>
      <c r="J7" s="3" t="s">
        <v>62</v>
      </c>
      <c r="K7" s="3">
        <v>4</v>
      </c>
      <c r="L7" s="3">
        <v>3200</v>
      </c>
      <c r="M7" s="3">
        <v>10</v>
      </c>
      <c r="N7" s="3">
        <v>11520</v>
      </c>
      <c r="O7" s="3">
        <v>3104.54</v>
      </c>
      <c r="P7" s="3" t="s">
        <v>27</v>
      </c>
      <c r="Q7" s="3" t="s">
        <v>28</v>
      </c>
    </row>
    <row r="8" spans="1:17" x14ac:dyDescent="0.35">
      <c r="A8" s="2" t="s">
        <v>63</v>
      </c>
      <c r="B8" s="2" t="s">
        <v>64</v>
      </c>
      <c r="C8" s="2" t="s">
        <v>40</v>
      </c>
      <c r="D8" s="2" t="s">
        <v>20</v>
      </c>
      <c r="E8" s="2" t="s">
        <v>65</v>
      </c>
      <c r="F8" s="2" t="s">
        <v>33</v>
      </c>
      <c r="G8" s="2" t="s">
        <v>66</v>
      </c>
      <c r="H8" s="2" t="s">
        <v>67</v>
      </c>
      <c r="I8" s="2" t="s">
        <v>42</v>
      </c>
      <c r="J8" s="2" t="s">
        <v>68</v>
      </c>
      <c r="K8" s="2">
        <v>5</v>
      </c>
      <c r="L8" s="2">
        <v>150</v>
      </c>
      <c r="M8" s="2">
        <v>20</v>
      </c>
      <c r="N8" s="2">
        <v>600</v>
      </c>
      <c r="O8" s="2">
        <v>83.58</v>
      </c>
      <c r="P8" s="2" t="s">
        <v>27</v>
      </c>
      <c r="Q8" s="2" t="s">
        <v>28</v>
      </c>
    </row>
    <row r="9" spans="1:17" x14ac:dyDescent="0.35">
      <c r="A9" s="3" t="s">
        <v>69</v>
      </c>
      <c r="B9" s="3" t="s">
        <v>70</v>
      </c>
      <c r="C9" s="3" t="s">
        <v>71</v>
      </c>
      <c r="D9" s="3" t="s">
        <v>20</v>
      </c>
      <c r="E9" s="3" t="s">
        <v>72</v>
      </c>
      <c r="F9" s="3" t="s">
        <v>22</v>
      </c>
      <c r="G9" s="3" t="s">
        <v>73</v>
      </c>
      <c r="H9" s="3" t="s">
        <v>74</v>
      </c>
      <c r="I9" s="3" t="s">
        <v>50</v>
      </c>
      <c r="J9" s="3" t="s">
        <v>75</v>
      </c>
      <c r="K9" s="3">
        <v>10</v>
      </c>
      <c r="L9" s="3">
        <v>45000</v>
      </c>
      <c r="M9" s="3">
        <v>10</v>
      </c>
      <c r="N9" s="3">
        <v>405000</v>
      </c>
      <c r="O9" s="3">
        <v>55650.71</v>
      </c>
      <c r="P9" s="3" t="s">
        <v>37</v>
      </c>
      <c r="Q9" s="3" t="s">
        <v>28</v>
      </c>
    </row>
    <row r="10" spans="1:17" x14ac:dyDescent="0.35">
      <c r="A10" s="2" t="s">
        <v>76</v>
      </c>
      <c r="B10" s="2" t="s">
        <v>77</v>
      </c>
      <c r="C10" s="2" t="s">
        <v>78</v>
      </c>
      <c r="D10" s="2" t="s">
        <v>20</v>
      </c>
      <c r="E10" s="2" t="s">
        <v>79</v>
      </c>
      <c r="F10" s="2" t="s">
        <v>56</v>
      </c>
      <c r="G10" s="2" t="s">
        <v>66</v>
      </c>
      <c r="H10" s="2" t="s">
        <v>67</v>
      </c>
      <c r="I10" s="2" t="s">
        <v>80</v>
      </c>
      <c r="J10" s="2" t="s">
        <v>81</v>
      </c>
      <c r="K10" s="2">
        <v>5</v>
      </c>
      <c r="L10" s="2">
        <v>950</v>
      </c>
      <c r="M10" s="2">
        <v>20</v>
      </c>
      <c r="N10" s="2">
        <v>3800</v>
      </c>
      <c r="O10" s="2">
        <v>743.57</v>
      </c>
      <c r="P10" s="2" t="s">
        <v>37</v>
      </c>
      <c r="Q10" s="2" t="s">
        <v>82</v>
      </c>
    </row>
    <row r="11" spans="1:17" x14ac:dyDescent="0.35">
      <c r="A11" s="3" t="s">
        <v>83</v>
      </c>
      <c r="B11" s="3" t="s">
        <v>84</v>
      </c>
      <c r="C11" s="3" t="s">
        <v>19</v>
      </c>
      <c r="D11" s="3" t="s">
        <v>20</v>
      </c>
      <c r="E11" s="3" t="s">
        <v>85</v>
      </c>
      <c r="F11" s="3" t="s">
        <v>22</v>
      </c>
      <c r="G11" s="3" t="s">
        <v>66</v>
      </c>
      <c r="H11" s="3" t="s">
        <v>86</v>
      </c>
      <c r="I11" s="3" t="s">
        <v>50</v>
      </c>
      <c r="J11" s="3" t="s">
        <v>58</v>
      </c>
      <c r="K11" s="3">
        <v>2</v>
      </c>
      <c r="L11" s="3">
        <v>18000</v>
      </c>
      <c r="M11" s="3">
        <v>5</v>
      </c>
      <c r="N11" s="3">
        <v>34200</v>
      </c>
      <c r="O11" s="3">
        <v>8529.84</v>
      </c>
      <c r="P11" s="3" t="s">
        <v>37</v>
      </c>
      <c r="Q11" s="3" t="s">
        <v>28</v>
      </c>
    </row>
    <row r="12" spans="1:17" x14ac:dyDescent="0.35">
      <c r="A12" s="2" t="s">
        <v>87</v>
      </c>
      <c r="B12" s="2" t="s">
        <v>88</v>
      </c>
      <c r="C12" s="2" t="s">
        <v>31</v>
      </c>
      <c r="D12" s="2" t="s">
        <v>20</v>
      </c>
      <c r="E12" s="2" t="s">
        <v>47</v>
      </c>
      <c r="F12" s="2" t="s">
        <v>33</v>
      </c>
      <c r="G12" s="2" t="s">
        <v>73</v>
      </c>
      <c r="H12" s="2" t="s">
        <v>74</v>
      </c>
      <c r="I12" s="2" t="s">
        <v>80</v>
      </c>
      <c r="J12" s="2" t="s">
        <v>89</v>
      </c>
      <c r="K12" s="2">
        <v>2</v>
      </c>
      <c r="L12" s="2">
        <v>1500</v>
      </c>
      <c r="M12" s="2">
        <v>20</v>
      </c>
      <c r="N12" s="2">
        <v>2400</v>
      </c>
      <c r="O12" s="2">
        <v>678.57</v>
      </c>
      <c r="P12" s="2" t="s">
        <v>37</v>
      </c>
      <c r="Q12" s="2" t="s">
        <v>28</v>
      </c>
    </row>
    <row r="13" spans="1:17" x14ac:dyDescent="0.35">
      <c r="A13" s="3" t="s">
        <v>90</v>
      </c>
      <c r="B13" s="3" t="s">
        <v>91</v>
      </c>
      <c r="C13" s="3" t="s">
        <v>31</v>
      </c>
      <c r="D13" s="3" t="s">
        <v>20</v>
      </c>
      <c r="E13" s="3" t="s">
        <v>92</v>
      </c>
      <c r="F13" s="3" t="s">
        <v>22</v>
      </c>
      <c r="G13" s="3" t="s">
        <v>73</v>
      </c>
      <c r="H13" s="3" t="s">
        <v>93</v>
      </c>
      <c r="I13" s="3" t="s">
        <v>25</v>
      </c>
      <c r="J13" s="3" t="s">
        <v>94</v>
      </c>
      <c r="K13" s="3">
        <v>3</v>
      </c>
      <c r="L13" s="3">
        <v>18000</v>
      </c>
      <c r="M13" s="3">
        <v>20</v>
      </c>
      <c r="N13" s="3">
        <v>43200</v>
      </c>
      <c r="O13" s="3">
        <v>14100.89</v>
      </c>
      <c r="P13" s="3" t="s">
        <v>37</v>
      </c>
      <c r="Q13" s="3" t="s">
        <v>28</v>
      </c>
    </row>
    <row r="14" spans="1:17" x14ac:dyDescent="0.35">
      <c r="A14" s="2" t="s">
        <v>95</v>
      </c>
      <c r="B14" s="2" t="s">
        <v>96</v>
      </c>
      <c r="C14" s="2" t="s">
        <v>71</v>
      </c>
      <c r="D14" s="2" t="s">
        <v>20</v>
      </c>
      <c r="E14" s="2" t="s">
        <v>97</v>
      </c>
      <c r="F14" s="2" t="s">
        <v>33</v>
      </c>
      <c r="G14" s="2" t="s">
        <v>66</v>
      </c>
      <c r="H14" s="2" t="s">
        <v>98</v>
      </c>
      <c r="I14" s="2" t="s">
        <v>35</v>
      </c>
      <c r="J14" s="2" t="s">
        <v>36</v>
      </c>
      <c r="K14" s="2">
        <v>9</v>
      </c>
      <c r="L14" s="2">
        <v>1999</v>
      </c>
      <c r="M14" s="2">
        <v>0</v>
      </c>
      <c r="N14" s="2">
        <v>17991</v>
      </c>
      <c r="O14" s="2">
        <v>4348.7</v>
      </c>
      <c r="P14" s="2" t="s">
        <v>27</v>
      </c>
      <c r="Q14" s="2" t="s">
        <v>82</v>
      </c>
    </row>
    <row r="15" spans="1:17" x14ac:dyDescent="0.35">
      <c r="A15" s="3" t="s">
        <v>99</v>
      </c>
      <c r="B15" s="3" t="s">
        <v>100</v>
      </c>
      <c r="C15" s="3" t="s">
        <v>71</v>
      </c>
      <c r="D15" s="3" t="s">
        <v>20</v>
      </c>
      <c r="E15" s="3" t="s">
        <v>101</v>
      </c>
      <c r="F15" s="3" t="s">
        <v>22</v>
      </c>
      <c r="G15" s="3" t="s">
        <v>48</v>
      </c>
      <c r="H15" s="3" t="s">
        <v>57</v>
      </c>
      <c r="I15" s="3" t="s">
        <v>50</v>
      </c>
      <c r="J15" s="3" t="s">
        <v>75</v>
      </c>
      <c r="K15" s="3">
        <v>10</v>
      </c>
      <c r="L15" s="3">
        <v>45000</v>
      </c>
      <c r="M15" s="3">
        <v>0</v>
      </c>
      <c r="N15" s="3">
        <v>450000</v>
      </c>
      <c r="O15" s="3">
        <v>46406.89</v>
      </c>
      <c r="P15" s="3" t="s">
        <v>27</v>
      </c>
      <c r="Q15" s="3" t="s">
        <v>28</v>
      </c>
    </row>
    <row r="16" spans="1:17" x14ac:dyDescent="0.35">
      <c r="A16" s="2" t="s">
        <v>102</v>
      </c>
      <c r="B16" s="2" t="s">
        <v>103</v>
      </c>
      <c r="C16" s="2" t="s">
        <v>78</v>
      </c>
      <c r="D16" s="2" t="s">
        <v>20</v>
      </c>
      <c r="E16" s="2" t="s">
        <v>104</v>
      </c>
      <c r="F16" s="2" t="s">
        <v>22</v>
      </c>
      <c r="G16" s="2" t="s">
        <v>73</v>
      </c>
      <c r="H16" s="2" t="s">
        <v>105</v>
      </c>
      <c r="I16" s="2" t="s">
        <v>25</v>
      </c>
      <c r="J16" s="2" t="s">
        <v>94</v>
      </c>
      <c r="K16" s="2">
        <v>10</v>
      </c>
      <c r="L16" s="2">
        <v>18000</v>
      </c>
      <c r="M16" s="2">
        <v>15</v>
      </c>
      <c r="N16" s="2">
        <v>153000</v>
      </c>
      <c r="O16" s="2">
        <v>52077.83</v>
      </c>
      <c r="P16" s="2" t="s">
        <v>27</v>
      </c>
      <c r="Q16" s="2" t="s">
        <v>28</v>
      </c>
    </row>
    <row r="17" spans="1:17" x14ac:dyDescent="0.35">
      <c r="A17" s="3" t="s">
        <v>106</v>
      </c>
      <c r="B17" s="3" t="s">
        <v>107</v>
      </c>
      <c r="C17" s="3" t="s">
        <v>40</v>
      </c>
      <c r="D17" s="3" t="s">
        <v>20</v>
      </c>
      <c r="E17" s="3" t="s">
        <v>108</v>
      </c>
      <c r="F17" s="3" t="s">
        <v>22</v>
      </c>
      <c r="G17" s="3" t="s">
        <v>48</v>
      </c>
      <c r="H17" s="3" t="s">
        <v>109</v>
      </c>
      <c r="I17" s="3" t="s">
        <v>80</v>
      </c>
      <c r="J17" s="3" t="s">
        <v>110</v>
      </c>
      <c r="K17" s="3">
        <v>2</v>
      </c>
      <c r="L17" s="3">
        <v>1200</v>
      </c>
      <c r="M17" s="3">
        <v>5</v>
      </c>
      <c r="N17" s="3">
        <v>2280</v>
      </c>
      <c r="O17" s="3">
        <v>320.72000000000003</v>
      </c>
      <c r="P17" s="3" t="s">
        <v>27</v>
      </c>
      <c r="Q17" s="3" t="s">
        <v>28</v>
      </c>
    </row>
    <row r="18" spans="1:17" x14ac:dyDescent="0.35">
      <c r="A18" s="2" t="s">
        <v>111</v>
      </c>
      <c r="B18" s="2" t="s">
        <v>112</v>
      </c>
      <c r="C18" s="2" t="s">
        <v>40</v>
      </c>
      <c r="D18" s="2" t="s">
        <v>20</v>
      </c>
      <c r="E18" s="2" t="s">
        <v>113</v>
      </c>
      <c r="F18" s="2" t="s">
        <v>22</v>
      </c>
      <c r="G18" s="2" t="s">
        <v>66</v>
      </c>
      <c r="H18" s="2" t="s">
        <v>114</v>
      </c>
      <c r="I18" s="2" t="s">
        <v>50</v>
      </c>
      <c r="J18" s="2" t="s">
        <v>58</v>
      </c>
      <c r="K18" s="2">
        <v>4</v>
      </c>
      <c r="L18" s="2">
        <v>18000</v>
      </c>
      <c r="M18" s="2">
        <v>0</v>
      </c>
      <c r="N18" s="2">
        <v>72000</v>
      </c>
      <c r="O18" s="2">
        <v>23361.37</v>
      </c>
      <c r="P18" s="2" t="s">
        <v>27</v>
      </c>
      <c r="Q18" s="2" t="s">
        <v>28</v>
      </c>
    </row>
    <row r="19" spans="1:17" x14ac:dyDescent="0.35">
      <c r="A19" s="3" t="s">
        <v>115</v>
      </c>
      <c r="B19" s="3" t="s">
        <v>116</v>
      </c>
      <c r="C19" s="3" t="s">
        <v>117</v>
      </c>
      <c r="D19" s="3" t="s">
        <v>20</v>
      </c>
      <c r="E19" s="3" t="s">
        <v>118</v>
      </c>
      <c r="F19" s="3" t="s">
        <v>33</v>
      </c>
      <c r="G19" s="3" t="s">
        <v>73</v>
      </c>
      <c r="H19" s="3" t="s">
        <v>105</v>
      </c>
      <c r="I19" s="3" t="s">
        <v>80</v>
      </c>
      <c r="J19" s="3" t="s">
        <v>119</v>
      </c>
      <c r="K19" s="3">
        <v>10</v>
      </c>
      <c r="L19" s="3">
        <v>800</v>
      </c>
      <c r="M19" s="3">
        <v>20</v>
      </c>
      <c r="N19" s="3">
        <v>6400</v>
      </c>
      <c r="O19" s="3">
        <v>1328.78</v>
      </c>
      <c r="P19" s="3" t="s">
        <v>37</v>
      </c>
      <c r="Q19" s="3" t="s">
        <v>28</v>
      </c>
    </row>
    <row r="20" spans="1:17" x14ac:dyDescent="0.35">
      <c r="A20" s="2" t="s">
        <v>120</v>
      </c>
      <c r="B20" s="2" t="s">
        <v>121</v>
      </c>
      <c r="C20" s="2" t="s">
        <v>31</v>
      </c>
      <c r="D20" s="2" t="s">
        <v>20</v>
      </c>
      <c r="E20" s="2" t="s">
        <v>122</v>
      </c>
      <c r="F20" s="2" t="s">
        <v>33</v>
      </c>
      <c r="G20" s="2" t="s">
        <v>73</v>
      </c>
      <c r="H20" s="2" t="s">
        <v>74</v>
      </c>
      <c r="I20" s="2" t="s">
        <v>42</v>
      </c>
      <c r="J20" s="2" t="s">
        <v>68</v>
      </c>
      <c r="K20" s="2">
        <v>8</v>
      </c>
      <c r="L20" s="2">
        <v>150</v>
      </c>
      <c r="M20" s="2">
        <v>0</v>
      </c>
      <c r="N20" s="2">
        <v>1200</v>
      </c>
      <c r="O20" s="2">
        <v>314.17</v>
      </c>
      <c r="P20" s="2" t="s">
        <v>27</v>
      </c>
      <c r="Q20" s="2" t="s">
        <v>28</v>
      </c>
    </row>
    <row r="21" spans="1:17" x14ac:dyDescent="0.35">
      <c r="A21" s="3" t="s">
        <v>123</v>
      </c>
      <c r="B21" s="3" t="s">
        <v>124</v>
      </c>
      <c r="C21" s="3" t="s">
        <v>54</v>
      </c>
      <c r="D21" s="3" t="s">
        <v>20</v>
      </c>
      <c r="E21" s="3" t="s">
        <v>125</v>
      </c>
      <c r="F21" s="3" t="s">
        <v>56</v>
      </c>
      <c r="G21" s="3" t="s">
        <v>23</v>
      </c>
      <c r="H21" s="3" t="s">
        <v>34</v>
      </c>
      <c r="I21" s="3" t="s">
        <v>35</v>
      </c>
      <c r="J21" s="3" t="s">
        <v>126</v>
      </c>
      <c r="K21" s="3">
        <v>9</v>
      </c>
      <c r="L21" s="3">
        <v>1299</v>
      </c>
      <c r="M21" s="3">
        <v>15</v>
      </c>
      <c r="N21" s="3">
        <v>9937.35</v>
      </c>
      <c r="O21" s="3">
        <v>1171.1099999999999</v>
      </c>
      <c r="P21" s="3" t="s">
        <v>37</v>
      </c>
      <c r="Q21" s="3" t="s">
        <v>82</v>
      </c>
    </row>
    <row r="22" spans="1:17" x14ac:dyDescent="0.35">
      <c r="A22" s="2" t="s">
        <v>127</v>
      </c>
      <c r="B22" s="2" t="s">
        <v>128</v>
      </c>
      <c r="C22" s="2" t="s">
        <v>129</v>
      </c>
      <c r="D22" s="2" t="s">
        <v>20</v>
      </c>
      <c r="E22" s="2" t="s">
        <v>130</v>
      </c>
      <c r="F22" s="2" t="s">
        <v>33</v>
      </c>
      <c r="G22" s="2" t="s">
        <v>23</v>
      </c>
      <c r="H22" s="2" t="s">
        <v>131</v>
      </c>
      <c r="I22" s="2" t="s">
        <v>80</v>
      </c>
      <c r="J22" s="2" t="s">
        <v>89</v>
      </c>
      <c r="K22" s="2">
        <v>1</v>
      </c>
      <c r="L22" s="2">
        <v>1500</v>
      </c>
      <c r="M22" s="2">
        <v>20</v>
      </c>
      <c r="N22" s="2">
        <v>1200</v>
      </c>
      <c r="O22" s="2">
        <v>366.87</v>
      </c>
      <c r="P22" s="2" t="s">
        <v>27</v>
      </c>
      <c r="Q22" s="2" t="s">
        <v>28</v>
      </c>
    </row>
    <row r="23" spans="1:17" x14ac:dyDescent="0.35">
      <c r="A23" s="3" t="s">
        <v>132</v>
      </c>
      <c r="B23" s="3" t="s">
        <v>133</v>
      </c>
      <c r="C23" s="3" t="s">
        <v>134</v>
      </c>
      <c r="D23" s="3" t="s">
        <v>20</v>
      </c>
      <c r="E23" s="3" t="s">
        <v>21</v>
      </c>
      <c r="F23" s="3" t="s">
        <v>56</v>
      </c>
      <c r="G23" s="3" t="s">
        <v>66</v>
      </c>
      <c r="H23" s="3" t="s">
        <v>86</v>
      </c>
      <c r="I23" s="3" t="s">
        <v>50</v>
      </c>
      <c r="J23" s="3" t="s">
        <v>75</v>
      </c>
      <c r="K23" s="3">
        <v>7</v>
      </c>
      <c r="L23" s="3">
        <v>45000</v>
      </c>
      <c r="M23" s="3">
        <v>0</v>
      </c>
      <c r="N23" s="3">
        <v>315000</v>
      </c>
      <c r="O23" s="3">
        <v>109000.52</v>
      </c>
      <c r="P23" s="3" t="s">
        <v>37</v>
      </c>
      <c r="Q23" s="3" t="s">
        <v>28</v>
      </c>
    </row>
    <row r="24" spans="1:17" x14ac:dyDescent="0.35">
      <c r="A24" s="2" t="s">
        <v>135</v>
      </c>
      <c r="B24" s="2" t="s">
        <v>136</v>
      </c>
      <c r="C24" s="2" t="s">
        <v>78</v>
      </c>
      <c r="D24" s="2" t="s">
        <v>20</v>
      </c>
      <c r="E24" s="2" t="s">
        <v>137</v>
      </c>
      <c r="F24" s="2" t="s">
        <v>22</v>
      </c>
      <c r="G24" s="2" t="s">
        <v>73</v>
      </c>
      <c r="H24" s="2" t="s">
        <v>105</v>
      </c>
      <c r="I24" s="2" t="s">
        <v>35</v>
      </c>
      <c r="J24" s="2" t="s">
        <v>138</v>
      </c>
      <c r="K24" s="2">
        <v>4</v>
      </c>
      <c r="L24" s="2">
        <v>799</v>
      </c>
      <c r="M24" s="2">
        <v>0</v>
      </c>
      <c r="N24" s="2">
        <v>3196</v>
      </c>
      <c r="O24" s="2">
        <v>755.47</v>
      </c>
      <c r="P24" s="2" t="s">
        <v>27</v>
      </c>
      <c r="Q24" s="2" t="s">
        <v>28</v>
      </c>
    </row>
    <row r="25" spans="1:17" x14ac:dyDescent="0.35">
      <c r="A25" s="3" t="s">
        <v>139</v>
      </c>
      <c r="B25" s="3" t="s">
        <v>140</v>
      </c>
      <c r="C25" s="3" t="s">
        <v>129</v>
      </c>
      <c r="D25" s="3" t="s">
        <v>20</v>
      </c>
      <c r="E25" s="3" t="s">
        <v>141</v>
      </c>
      <c r="F25" s="3" t="s">
        <v>56</v>
      </c>
      <c r="G25" s="3" t="s">
        <v>73</v>
      </c>
      <c r="H25" s="3" t="s">
        <v>105</v>
      </c>
      <c r="I25" s="3" t="s">
        <v>50</v>
      </c>
      <c r="J25" s="3" t="s">
        <v>142</v>
      </c>
      <c r="K25" s="3">
        <v>2</v>
      </c>
      <c r="L25" s="3">
        <v>15000</v>
      </c>
      <c r="M25" s="3">
        <v>5</v>
      </c>
      <c r="N25" s="3">
        <v>28500</v>
      </c>
      <c r="O25" s="3">
        <v>2807.27</v>
      </c>
      <c r="P25" s="3" t="s">
        <v>27</v>
      </c>
      <c r="Q25" s="3" t="s">
        <v>82</v>
      </c>
    </row>
    <row r="26" spans="1:17" x14ac:dyDescent="0.35">
      <c r="A26" s="2" t="s">
        <v>143</v>
      </c>
      <c r="B26" s="2" t="s">
        <v>144</v>
      </c>
      <c r="C26" s="2" t="s">
        <v>40</v>
      </c>
      <c r="D26" s="2" t="s">
        <v>20</v>
      </c>
      <c r="E26" s="2" t="s">
        <v>145</v>
      </c>
      <c r="F26" s="2" t="s">
        <v>33</v>
      </c>
      <c r="G26" s="2" t="s">
        <v>66</v>
      </c>
      <c r="H26" s="2" t="s">
        <v>114</v>
      </c>
      <c r="I26" s="2" t="s">
        <v>80</v>
      </c>
      <c r="J26" s="2" t="s">
        <v>89</v>
      </c>
      <c r="K26" s="2">
        <v>7</v>
      </c>
      <c r="L26" s="2">
        <v>1500</v>
      </c>
      <c r="M26" s="2">
        <v>20</v>
      </c>
      <c r="N26" s="2">
        <v>8400</v>
      </c>
      <c r="O26" s="2">
        <v>1953.93</v>
      </c>
      <c r="P26" s="2" t="s">
        <v>37</v>
      </c>
      <c r="Q26" s="2" t="s">
        <v>28</v>
      </c>
    </row>
    <row r="27" spans="1:17" x14ac:dyDescent="0.35">
      <c r="A27" s="3" t="s">
        <v>146</v>
      </c>
      <c r="B27" s="3" t="s">
        <v>147</v>
      </c>
      <c r="C27" s="3" t="s">
        <v>129</v>
      </c>
      <c r="D27" s="3" t="s">
        <v>20</v>
      </c>
      <c r="E27" s="3" t="s">
        <v>148</v>
      </c>
      <c r="F27" s="3" t="s">
        <v>56</v>
      </c>
      <c r="G27" s="3" t="s">
        <v>66</v>
      </c>
      <c r="H27" s="3" t="s">
        <v>98</v>
      </c>
      <c r="I27" s="3" t="s">
        <v>42</v>
      </c>
      <c r="J27" s="3" t="s">
        <v>149</v>
      </c>
      <c r="K27" s="3">
        <v>5</v>
      </c>
      <c r="L27" s="3">
        <v>180</v>
      </c>
      <c r="M27" s="3">
        <v>15</v>
      </c>
      <c r="N27" s="3">
        <v>765</v>
      </c>
      <c r="O27" s="3">
        <v>126.51</v>
      </c>
      <c r="P27" s="3" t="s">
        <v>27</v>
      </c>
      <c r="Q27" s="3" t="s">
        <v>82</v>
      </c>
    </row>
    <row r="28" spans="1:17" x14ac:dyDescent="0.35">
      <c r="A28" s="2" t="s">
        <v>150</v>
      </c>
      <c r="B28" s="2" t="s">
        <v>151</v>
      </c>
      <c r="C28" s="2" t="s">
        <v>40</v>
      </c>
      <c r="D28" s="2" t="s">
        <v>20</v>
      </c>
      <c r="E28" s="2" t="s">
        <v>152</v>
      </c>
      <c r="F28" s="2" t="s">
        <v>33</v>
      </c>
      <c r="G28" s="2" t="s">
        <v>23</v>
      </c>
      <c r="H28" s="2" t="s">
        <v>24</v>
      </c>
      <c r="I28" s="2" t="s">
        <v>80</v>
      </c>
      <c r="J28" s="2" t="s">
        <v>119</v>
      </c>
      <c r="K28" s="2">
        <v>9</v>
      </c>
      <c r="L28" s="2">
        <v>800</v>
      </c>
      <c r="M28" s="2">
        <v>10</v>
      </c>
      <c r="N28" s="2">
        <v>6480</v>
      </c>
      <c r="O28" s="2">
        <v>750.15</v>
      </c>
      <c r="P28" s="2" t="s">
        <v>27</v>
      </c>
      <c r="Q28" s="2" t="s">
        <v>28</v>
      </c>
    </row>
    <row r="29" spans="1:17" x14ac:dyDescent="0.35">
      <c r="A29" s="3" t="s">
        <v>153</v>
      </c>
      <c r="B29" s="3" t="s">
        <v>154</v>
      </c>
      <c r="C29" s="3" t="s">
        <v>19</v>
      </c>
      <c r="D29" s="3" t="s">
        <v>20</v>
      </c>
      <c r="E29" s="3" t="s">
        <v>155</v>
      </c>
      <c r="F29" s="3" t="s">
        <v>33</v>
      </c>
      <c r="G29" s="3" t="s">
        <v>73</v>
      </c>
      <c r="H29" s="3" t="s">
        <v>74</v>
      </c>
      <c r="I29" s="3" t="s">
        <v>80</v>
      </c>
      <c r="J29" s="3" t="s">
        <v>81</v>
      </c>
      <c r="K29" s="3">
        <v>1</v>
      </c>
      <c r="L29" s="3">
        <v>950</v>
      </c>
      <c r="M29" s="3">
        <v>20</v>
      </c>
      <c r="N29" s="3">
        <v>760</v>
      </c>
      <c r="O29" s="3">
        <v>122.23</v>
      </c>
      <c r="P29" s="3" t="s">
        <v>27</v>
      </c>
      <c r="Q29" s="3" t="s">
        <v>28</v>
      </c>
    </row>
    <row r="30" spans="1:17" x14ac:dyDescent="0.35">
      <c r="A30" s="2" t="s">
        <v>156</v>
      </c>
      <c r="B30" s="2" t="s">
        <v>157</v>
      </c>
      <c r="C30" s="2" t="s">
        <v>54</v>
      </c>
      <c r="D30" s="2" t="s">
        <v>20</v>
      </c>
      <c r="E30" s="2" t="s">
        <v>158</v>
      </c>
      <c r="F30" s="2" t="s">
        <v>22</v>
      </c>
      <c r="G30" s="2" t="s">
        <v>23</v>
      </c>
      <c r="H30" s="2" t="s">
        <v>34</v>
      </c>
      <c r="I30" s="2" t="s">
        <v>25</v>
      </c>
      <c r="J30" s="2" t="s">
        <v>62</v>
      </c>
      <c r="K30" s="2">
        <v>10</v>
      </c>
      <c r="L30" s="2">
        <v>3200</v>
      </c>
      <c r="M30" s="2">
        <v>5</v>
      </c>
      <c r="N30" s="2">
        <v>30400</v>
      </c>
      <c r="O30" s="2">
        <v>8322.16</v>
      </c>
      <c r="P30" s="2" t="s">
        <v>37</v>
      </c>
      <c r="Q30" s="2" t="s">
        <v>28</v>
      </c>
    </row>
    <row r="31" spans="1:17" x14ac:dyDescent="0.35">
      <c r="A31" s="3" t="s">
        <v>159</v>
      </c>
      <c r="B31" s="3" t="s">
        <v>160</v>
      </c>
      <c r="C31" s="3" t="s">
        <v>161</v>
      </c>
      <c r="D31" s="3" t="s">
        <v>20</v>
      </c>
      <c r="E31" s="3" t="s">
        <v>162</v>
      </c>
      <c r="F31" s="3" t="s">
        <v>33</v>
      </c>
      <c r="G31" s="3" t="s">
        <v>23</v>
      </c>
      <c r="H31" s="3" t="s">
        <v>24</v>
      </c>
      <c r="I31" s="3" t="s">
        <v>42</v>
      </c>
      <c r="J31" s="3" t="s">
        <v>43</v>
      </c>
      <c r="K31" s="3">
        <v>1</v>
      </c>
      <c r="L31" s="3">
        <v>220</v>
      </c>
      <c r="M31" s="3">
        <v>0</v>
      </c>
      <c r="N31" s="3">
        <v>220</v>
      </c>
      <c r="O31" s="3">
        <v>37.409999999999997</v>
      </c>
      <c r="P31" s="3" t="s">
        <v>37</v>
      </c>
      <c r="Q31" s="3" t="s">
        <v>28</v>
      </c>
    </row>
    <row r="32" spans="1:17" x14ac:dyDescent="0.35">
      <c r="A32" s="2" t="s">
        <v>163</v>
      </c>
      <c r="B32" s="2" t="s">
        <v>164</v>
      </c>
      <c r="C32" s="2" t="s">
        <v>46</v>
      </c>
      <c r="D32" s="2" t="s">
        <v>20</v>
      </c>
      <c r="E32" s="2" t="s">
        <v>165</v>
      </c>
      <c r="F32" s="2" t="s">
        <v>56</v>
      </c>
      <c r="G32" s="2" t="s">
        <v>73</v>
      </c>
      <c r="H32" s="2" t="s">
        <v>93</v>
      </c>
      <c r="I32" s="2" t="s">
        <v>50</v>
      </c>
      <c r="J32" s="2" t="s">
        <v>58</v>
      </c>
      <c r="K32" s="2">
        <v>3</v>
      </c>
      <c r="L32" s="2">
        <v>18000</v>
      </c>
      <c r="M32" s="2">
        <v>20</v>
      </c>
      <c r="N32" s="2">
        <v>43200</v>
      </c>
      <c r="O32" s="2">
        <v>3876.23</v>
      </c>
      <c r="P32" s="2" t="s">
        <v>27</v>
      </c>
      <c r="Q32" s="2" t="s">
        <v>28</v>
      </c>
    </row>
    <row r="33" spans="1:17" x14ac:dyDescent="0.35">
      <c r="A33" s="3" t="s">
        <v>166</v>
      </c>
      <c r="B33" s="3" t="s">
        <v>167</v>
      </c>
      <c r="C33" s="3" t="s">
        <v>78</v>
      </c>
      <c r="D33" s="3" t="s">
        <v>20</v>
      </c>
      <c r="E33" s="3" t="s">
        <v>168</v>
      </c>
      <c r="F33" s="3" t="s">
        <v>22</v>
      </c>
      <c r="G33" s="3" t="s">
        <v>48</v>
      </c>
      <c r="H33" s="3" t="s">
        <v>169</v>
      </c>
      <c r="I33" s="3" t="s">
        <v>25</v>
      </c>
      <c r="J33" s="3" t="s">
        <v>26</v>
      </c>
      <c r="K33" s="3">
        <v>4</v>
      </c>
      <c r="L33" s="3">
        <v>5500</v>
      </c>
      <c r="M33" s="3">
        <v>0</v>
      </c>
      <c r="N33" s="3">
        <v>22000</v>
      </c>
      <c r="O33" s="3">
        <v>3860.85</v>
      </c>
      <c r="P33" s="3" t="s">
        <v>37</v>
      </c>
      <c r="Q33" s="3" t="s">
        <v>28</v>
      </c>
    </row>
    <row r="34" spans="1:17" x14ac:dyDescent="0.35">
      <c r="A34" s="2" t="s">
        <v>170</v>
      </c>
      <c r="B34" s="2" t="s">
        <v>171</v>
      </c>
      <c r="C34" s="2" t="s">
        <v>40</v>
      </c>
      <c r="D34" s="2" t="s">
        <v>20</v>
      </c>
      <c r="E34" s="2" t="s">
        <v>162</v>
      </c>
      <c r="F34" s="2" t="s">
        <v>22</v>
      </c>
      <c r="G34" s="2" t="s">
        <v>66</v>
      </c>
      <c r="H34" s="2" t="s">
        <v>67</v>
      </c>
      <c r="I34" s="2" t="s">
        <v>35</v>
      </c>
      <c r="J34" s="2" t="s">
        <v>172</v>
      </c>
      <c r="K34" s="2">
        <v>1</v>
      </c>
      <c r="L34" s="2">
        <v>2499</v>
      </c>
      <c r="M34" s="2">
        <v>5</v>
      </c>
      <c r="N34" s="2">
        <v>2374.0500000000002</v>
      </c>
      <c r="O34" s="2">
        <v>662.06</v>
      </c>
      <c r="P34" s="2" t="s">
        <v>37</v>
      </c>
      <c r="Q34" s="2" t="s">
        <v>28</v>
      </c>
    </row>
    <row r="35" spans="1:17" x14ac:dyDescent="0.35">
      <c r="A35" s="3" t="s">
        <v>173</v>
      </c>
      <c r="B35" s="3" t="s">
        <v>174</v>
      </c>
      <c r="C35" s="3" t="s">
        <v>117</v>
      </c>
      <c r="D35" s="3" t="s">
        <v>20</v>
      </c>
      <c r="E35" s="3" t="s">
        <v>175</v>
      </c>
      <c r="F35" s="3" t="s">
        <v>56</v>
      </c>
      <c r="G35" s="3" t="s">
        <v>48</v>
      </c>
      <c r="H35" s="3" t="s">
        <v>57</v>
      </c>
      <c r="I35" s="3" t="s">
        <v>50</v>
      </c>
      <c r="J35" s="3" t="s">
        <v>51</v>
      </c>
      <c r="K35" s="3">
        <v>1</v>
      </c>
      <c r="L35" s="3">
        <v>32000</v>
      </c>
      <c r="M35" s="3">
        <v>15</v>
      </c>
      <c r="N35" s="3">
        <v>27200</v>
      </c>
      <c r="O35" s="3">
        <v>3809.55</v>
      </c>
      <c r="P35" s="3" t="s">
        <v>37</v>
      </c>
      <c r="Q35" s="3" t="s">
        <v>28</v>
      </c>
    </row>
    <row r="36" spans="1:17" x14ac:dyDescent="0.35">
      <c r="A36" s="2" t="s">
        <v>176</v>
      </c>
      <c r="B36" s="2" t="s">
        <v>177</v>
      </c>
      <c r="C36" s="2" t="s">
        <v>71</v>
      </c>
      <c r="D36" s="2" t="s">
        <v>20</v>
      </c>
      <c r="E36" s="2" t="s">
        <v>178</v>
      </c>
      <c r="F36" s="2" t="s">
        <v>22</v>
      </c>
      <c r="G36" s="2" t="s">
        <v>66</v>
      </c>
      <c r="H36" s="2" t="s">
        <v>86</v>
      </c>
      <c r="I36" s="2" t="s">
        <v>25</v>
      </c>
      <c r="J36" s="2" t="s">
        <v>62</v>
      </c>
      <c r="K36" s="2">
        <v>2</v>
      </c>
      <c r="L36" s="2">
        <v>3200</v>
      </c>
      <c r="M36" s="2">
        <v>10</v>
      </c>
      <c r="N36" s="2">
        <v>5760</v>
      </c>
      <c r="O36" s="2">
        <v>1006.9</v>
      </c>
      <c r="P36" s="2" t="s">
        <v>37</v>
      </c>
      <c r="Q36" s="2" t="s">
        <v>28</v>
      </c>
    </row>
    <row r="37" spans="1:17" x14ac:dyDescent="0.35">
      <c r="A37" s="3" t="s">
        <v>179</v>
      </c>
      <c r="B37" s="3" t="s">
        <v>180</v>
      </c>
      <c r="C37" s="3" t="s">
        <v>31</v>
      </c>
      <c r="D37" s="3" t="s">
        <v>20</v>
      </c>
      <c r="E37" s="3" t="s">
        <v>181</v>
      </c>
      <c r="F37" s="3" t="s">
        <v>56</v>
      </c>
      <c r="G37" s="3" t="s">
        <v>23</v>
      </c>
      <c r="H37" s="3" t="s">
        <v>24</v>
      </c>
      <c r="I37" s="3" t="s">
        <v>25</v>
      </c>
      <c r="J37" s="3" t="s">
        <v>26</v>
      </c>
      <c r="K37" s="3">
        <v>10</v>
      </c>
      <c r="L37" s="3">
        <v>5500</v>
      </c>
      <c r="M37" s="3">
        <v>10</v>
      </c>
      <c r="N37" s="3">
        <v>49500</v>
      </c>
      <c r="O37" s="3">
        <v>4471.3100000000004</v>
      </c>
      <c r="P37" s="3" t="s">
        <v>37</v>
      </c>
      <c r="Q37" s="3" t="s">
        <v>28</v>
      </c>
    </row>
    <row r="38" spans="1:17" x14ac:dyDescent="0.35">
      <c r="A38" s="2" t="s">
        <v>182</v>
      </c>
      <c r="B38" s="2" t="s">
        <v>183</v>
      </c>
      <c r="C38" s="2" t="s">
        <v>117</v>
      </c>
      <c r="D38" s="2" t="s">
        <v>20</v>
      </c>
      <c r="E38" s="2" t="s">
        <v>178</v>
      </c>
      <c r="F38" s="2" t="s">
        <v>22</v>
      </c>
      <c r="G38" s="2" t="s">
        <v>73</v>
      </c>
      <c r="H38" s="2" t="s">
        <v>93</v>
      </c>
      <c r="I38" s="2" t="s">
        <v>42</v>
      </c>
      <c r="J38" s="2" t="s">
        <v>184</v>
      </c>
      <c r="K38" s="2">
        <v>4</v>
      </c>
      <c r="L38" s="2">
        <v>120</v>
      </c>
      <c r="M38" s="2">
        <v>10</v>
      </c>
      <c r="N38" s="2">
        <v>432</v>
      </c>
      <c r="O38" s="2">
        <v>39.74</v>
      </c>
      <c r="P38" s="2" t="s">
        <v>27</v>
      </c>
      <c r="Q38" s="2" t="s">
        <v>28</v>
      </c>
    </row>
    <row r="39" spans="1:17" x14ac:dyDescent="0.35">
      <c r="A39" s="3" t="s">
        <v>185</v>
      </c>
      <c r="B39" s="3" t="s">
        <v>186</v>
      </c>
      <c r="C39" s="3" t="s">
        <v>161</v>
      </c>
      <c r="D39" s="3" t="s">
        <v>20</v>
      </c>
      <c r="E39" s="3" t="s">
        <v>104</v>
      </c>
      <c r="F39" s="3" t="s">
        <v>22</v>
      </c>
      <c r="G39" s="3" t="s">
        <v>66</v>
      </c>
      <c r="H39" s="3" t="s">
        <v>98</v>
      </c>
      <c r="I39" s="3" t="s">
        <v>42</v>
      </c>
      <c r="J39" s="3" t="s">
        <v>187</v>
      </c>
      <c r="K39" s="3">
        <v>6</v>
      </c>
      <c r="L39" s="3">
        <v>350</v>
      </c>
      <c r="M39" s="3">
        <v>20</v>
      </c>
      <c r="N39" s="3">
        <v>1680</v>
      </c>
      <c r="O39" s="3">
        <v>276.79000000000002</v>
      </c>
      <c r="P39" s="3" t="s">
        <v>37</v>
      </c>
      <c r="Q39" s="3" t="s">
        <v>28</v>
      </c>
    </row>
    <row r="40" spans="1:17" x14ac:dyDescent="0.35">
      <c r="A40" s="2" t="s">
        <v>188</v>
      </c>
      <c r="B40" s="2" t="s">
        <v>189</v>
      </c>
      <c r="C40" s="2" t="s">
        <v>46</v>
      </c>
      <c r="D40" s="2" t="s">
        <v>20</v>
      </c>
      <c r="E40" s="2" t="s">
        <v>190</v>
      </c>
      <c r="F40" s="2" t="s">
        <v>22</v>
      </c>
      <c r="G40" s="2" t="s">
        <v>48</v>
      </c>
      <c r="H40" s="2" t="s">
        <v>109</v>
      </c>
      <c r="I40" s="2" t="s">
        <v>25</v>
      </c>
      <c r="J40" s="2" t="s">
        <v>94</v>
      </c>
      <c r="K40" s="2">
        <v>3</v>
      </c>
      <c r="L40" s="2">
        <v>18000</v>
      </c>
      <c r="M40" s="2">
        <v>5</v>
      </c>
      <c r="N40" s="2">
        <v>51300</v>
      </c>
      <c r="O40" s="2">
        <v>9927.6</v>
      </c>
      <c r="P40" s="2" t="s">
        <v>27</v>
      </c>
      <c r="Q40" s="2" t="s">
        <v>28</v>
      </c>
    </row>
    <row r="41" spans="1:17" x14ac:dyDescent="0.35">
      <c r="A41" s="3" t="s">
        <v>191</v>
      </c>
      <c r="B41" s="3" t="s">
        <v>192</v>
      </c>
      <c r="C41" s="3" t="s">
        <v>40</v>
      </c>
      <c r="D41" s="3" t="s">
        <v>20</v>
      </c>
      <c r="E41" s="3" t="s">
        <v>193</v>
      </c>
      <c r="F41" s="3" t="s">
        <v>56</v>
      </c>
      <c r="G41" s="3" t="s">
        <v>23</v>
      </c>
      <c r="H41" s="3" t="s">
        <v>194</v>
      </c>
      <c r="I41" s="3" t="s">
        <v>25</v>
      </c>
      <c r="J41" s="3" t="s">
        <v>26</v>
      </c>
      <c r="K41" s="3">
        <v>7</v>
      </c>
      <c r="L41" s="3">
        <v>5500</v>
      </c>
      <c r="M41" s="3">
        <v>20</v>
      </c>
      <c r="N41" s="3">
        <v>30800</v>
      </c>
      <c r="O41" s="3">
        <v>7509</v>
      </c>
      <c r="P41" s="3" t="s">
        <v>37</v>
      </c>
      <c r="Q41" s="3" t="s">
        <v>28</v>
      </c>
    </row>
    <row r="42" spans="1:17" x14ac:dyDescent="0.35">
      <c r="A42" s="2" t="s">
        <v>195</v>
      </c>
      <c r="B42" s="2" t="s">
        <v>196</v>
      </c>
      <c r="C42" s="2" t="s">
        <v>54</v>
      </c>
      <c r="D42" s="2" t="s">
        <v>20</v>
      </c>
      <c r="E42" s="2" t="s">
        <v>197</v>
      </c>
      <c r="F42" s="2" t="s">
        <v>33</v>
      </c>
      <c r="G42" s="2" t="s">
        <v>73</v>
      </c>
      <c r="H42" s="2" t="s">
        <v>105</v>
      </c>
      <c r="I42" s="2" t="s">
        <v>50</v>
      </c>
      <c r="J42" s="2" t="s">
        <v>198</v>
      </c>
      <c r="K42" s="2">
        <v>9</v>
      </c>
      <c r="L42" s="2">
        <v>2500</v>
      </c>
      <c r="M42" s="2">
        <v>20</v>
      </c>
      <c r="N42" s="2">
        <v>18000</v>
      </c>
      <c r="O42" s="2">
        <v>3069.01</v>
      </c>
      <c r="P42" s="2" t="s">
        <v>37</v>
      </c>
      <c r="Q42" s="2" t="s">
        <v>28</v>
      </c>
    </row>
    <row r="43" spans="1:17" x14ac:dyDescent="0.35">
      <c r="A43" s="3" t="s">
        <v>199</v>
      </c>
      <c r="B43" s="3" t="s">
        <v>200</v>
      </c>
      <c r="C43" s="3" t="s">
        <v>31</v>
      </c>
      <c r="D43" s="3" t="s">
        <v>20</v>
      </c>
      <c r="E43" s="3" t="s">
        <v>201</v>
      </c>
      <c r="F43" s="3" t="s">
        <v>22</v>
      </c>
      <c r="G43" s="3" t="s">
        <v>23</v>
      </c>
      <c r="H43" s="3" t="s">
        <v>34</v>
      </c>
      <c r="I43" s="3" t="s">
        <v>42</v>
      </c>
      <c r="J43" s="3" t="s">
        <v>184</v>
      </c>
      <c r="K43" s="3">
        <v>2</v>
      </c>
      <c r="L43" s="3">
        <v>120</v>
      </c>
      <c r="M43" s="3">
        <v>15</v>
      </c>
      <c r="N43" s="3">
        <v>204</v>
      </c>
      <c r="O43" s="3">
        <v>39.15</v>
      </c>
      <c r="P43" s="3" t="s">
        <v>27</v>
      </c>
      <c r="Q43" s="3" t="s">
        <v>28</v>
      </c>
    </row>
    <row r="44" spans="1:17" x14ac:dyDescent="0.35">
      <c r="A44" s="2" t="s">
        <v>202</v>
      </c>
      <c r="B44" s="2" t="s">
        <v>203</v>
      </c>
      <c r="C44" s="2" t="s">
        <v>19</v>
      </c>
      <c r="D44" s="2" t="s">
        <v>20</v>
      </c>
      <c r="E44" s="2" t="s">
        <v>204</v>
      </c>
      <c r="F44" s="2" t="s">
        <v>33</v>
      </c>
      <c r="G44" s="2" t="s">
        <v>73</v>
      </c>
      <c r="H44" s="2" t="s">
        <v>105</v>
      </c>
      <c r="I44" s="2" t="s">
        <v>35</v>
      </c>
      <c r="J44" s="2" t="s">
        <v>205</v>
      </c>
      <c r="K44" s="2">
        <v>2</v>
      </c>
      <c r="L44" s="2">
        <v>499</v>
      </c>
      <c r="M44" s="2">
        <v>15</v>
      </c>
      <c r="N44" s="2">
        <v>848.3</v>
      </c>
      <c r="O44" s="2">
        <v>117.99</v>
      </c>
      <c r="P44" s="2" t="s">
        <v>37</v>
      </c>
      <c r="Q44" s="2" t="s">
        <v>28</v>
      </c>
    </row>
    <row r="45" spans="1:17" x14ac:dyDescent="0.35">
      <c r="A45" s="3" t="s">
        <v>206</v>
      </c>
      <c r="B45" s="3" t="s">
        <v>207</v>
      </c>
      <c r="C45" s="3" t="s">
        <v>117</v>
      </c>
      <c r="D45" s="3" t="s">
        <v>20</v>
      </c>
      <c r="E45" s="3" t="s">
        <v>32</v>
      </c>
      <c r="F45" s="3" t="s">
        <v>22</v>
      </c>
      <c r="G45" s="3" t="s">
        <v>23</v>
      </c>
      <c r="H45" s="3" t="s">
        <v>131</v>
      </c>
      <c r="I45" s="3" t="s">
        <v>35</v>
      </c>
      <c r="J45" s="3" t="s">
        <v>172</v>
      </c>
      <c r="K45" s="3">
        <v>9</v>
      </c>
      <c r="L45" s="3">
        <v>2499</v>
      </c>
      <c r="M45" s="3">
        <v>20</v>
      </c>
      <c r="N45" s="3">
        <v>17992.8</v>
      </c>
      <c r="O45" s="3">
        <v>4332.16</v>
      </c>
      <c r="P45" s="3" t="s">
        <v>37</v>
      </c>
      <c r="Q45" s="3" t="s">
        <v>82</v>
      </c>
    </row>
    <row r="46" spans="1:17" x14ac:dyDescent="0.35">
      <c r="A46" s="2" t="s">
        <v>208</v>
      </c>
      <c r="B46" s="2" t="s">
        <v>209</v>
      </c>
      <c r="C46" s="2" t="s">
        <v>134</v>
      </c>
      <c r="D46" s="2" t="s">
        <v>20</v>
      </c>
      <c r="E46" s="2" t="s">
        <v>210</v>
      </c>
      <c r="F46" s="2" t="s">
        <v>56</v>
      </c>
      <c r="G46" s="2" t="s">
        <v>73</v>
      </c>
      <c r="H46" s="2" t="s">
        <v>211</v>
      </c>
      <c r="I46" s="2" t="s">
        <v>25</v>
      </c>
      <c r="J46" s="2" t="s">
        <v>26</v>
      </c>
      <c r="K46" s="2">
        <v>5</v>
      </c>
      <c r="L46" s="2">
        <v>5500</v>
      </c>
      <c r="M46" s="2">
        <v>20</v>
      </c>
      <c r="N46" s="2">
        <v>22000</v>
      </c>
      <c r="O46" s="2">
        <v>4638.51</v>
      </c>
      <c r="P46" s="2" t="s">
        <v>37</v>
      </c>
      <c r="Q46" s="2" t="s">
        <v>28</v>
      </c>
    </row>
    <row r="47" spans="1:17" x14ac:dyDescent="0.35">
      <c r="A47" s="3" t="s">
        <v>212</v>
      </c>
      <c r="B47" s="3" t="s">
        <v>213</v>
      </c>
      <c r="C47" s="3" t="s">
        <v>54</v>
      </c>
      <c r="D47" s="3" t="s">
        <v>20</v>
      </c>
      <c r="E47" s="3" t="s">
        <v>214</v>
      </c>
      <c r="F47" s="3" t="s">
        <v>22</v>
      </c>
      <c r="G47" s="3" t="s">
        <v>66</v>
      </c>
      <c r="H47" s="3" t="s">
        <v>98</v>
      </c>
      <c r="I47" s="3" t="s">
        <v>25</v>
      </c>
      <c r="J47" s="3" t="s">
        <v>62</v>
      </c>
      <c r="K47" s="3">
        <v>9</v>
      </c>
      <c r="L47" s="3">
        <v>3200</v>
      </c>
      <c r="M47" s="3">
        <v>0</v>
      </c>
      <c r="N47" s="3">
        <v>28800</v>
      </c>
      <c r="O47" s="3">
        <v>3380</v>
      </c>
      <c r="P47" s="3" t="s">
        <v>37</v>
      </c>
      <c r="Q47" s="3" t="s">
        <v>28</v>
      </c>
    </row>
    <row r="48" spans="1:17" x14ac:dyDescent="0.35">
      <c r="A48" s="2" t="s">
        <v>215</v>
      </c>
      <c r="B48" s="2" t="s">
        <v>216</v>
      </c>
      <c r="C48" s="2" t="s">
        <v>54</v>
      </c>
      <c r="D48" s="2" t="s">
        <v>20</v>
      </c>
      <c r="E48" s="2" t="s">
        <v>101</v>
      </c>
      <c r="F48" s="2" t="s">
        <v>56</v>
      </c>
      <c r="G48" s="2" t="s">
        <v>23</v>
      </c>
      <c r="H48" s="2" t="s">
        <v>131</v>
      </c>
      <c r="I48" s="2" t="s">
        <v>42</v>
      </c>
      <c r="J48" s="2" t="s">
        <v>43</v>
      </c>
      <c r="K48" s="2">
        <v>9</v>
      </c>
      <c r="L48" s="2">
        <v>220</v>
      </c>
      <c r="M48" s="2">
        <v>15</v>
      </c>
      <c r="N48" s="2">
        <v>1683</v>
      </c>
      <c r="O48" s="2">
        <v>323.57</v>
      </c>
      <c r="P48" s="2" t="s">
        <v>37</v>
      </c>
      <c r="Q48" s="2" t="s">
        <v>28</v>
      </c>
    </row>
    <row r="49" spans="1:17" x14ac:dyDescent="0.35">
      <c r="A49" s="3" t="s">
        <v>217</v>
      </c>
      <c r="B49" s="3" t="s">
        <v>218</v>
      </c>
      <c r="C49" s="3" t="s">
        <v>117</v>
      </c>
      <c r="D49" s="3" t="s">
        <v>20</v>
      </c>
      <c r="E49" s="3" t="s">
        <v>79</v>
      </c>
      <c r="F49" s="3" t="s">
        <v>56</v>
      </c>
      <c r="G49" s="3" t="s">
        <v>23</v>
      </c>
      <c r="H49" s="3" t="s">
        <v>131</v>
      </c>
      <c r="I49" s="3" t="s">
        <v>42</v>
      </c>
      <c r="J49" s="3" t="s">
        <v>187</v>
      </c>
      <c r="K49" s="3">
        <v>6</v>
      </c>
      <c r="L49" s="3">
        <v>350</v>
      </c>
      <c r="M49" s="3">
        <v>10</v>
      </c>
      <c r="N49" s="3">
        <v>1890</v>
      </c>
      <c r="O49" s="3">
        <v>535.70000000000005</v>
      </c>
      <c r="P49" s="3" t="s">
        <v>27</v>
      </c>
      <c r="Q49" s="3" t="s">
        <v>28</v>
      </c>
    </row>
    <row r="50" spans="1:17" x14ac:dyDescent="0.35">
      <c r="A50" s="2" t="s">
        <v>219</v>
      </c>
      <c r="B50" s="2" t="s">
        <v>220</v>
      </c>
      <c r="C50" s="2" t="s">
        <v>161</v>
      </c>
      <c r="D50" s="2" t="s">
        <v>20</v>
      </c>
      <c r="E50" s="2" t="s">
        <v>221</v>
      </c>
      <c r="F50" s="2" t="s">
        <v>56</v>
      </c>
      <c r="G50" s="2" t="s">
        <v>73</v>
      </c>
      <c r="H50" s="2" t="s">
        <v>93</v>
      </c>
      <c r="I50" s="2" t="s">
        <v>42</v>
      </c>
      <c r="J50" s="2" t="s">
        <v>43</v>
      </c>
      <c r="K50" s="2">
        <v>7</v>
      </c>
      <c r="L50" s="2">
        <v>220</v>
      </c>
      <c r="M50" s="2">
        <v>5</v>
      </c>
      <c r="N50" s="2">
        <v>1463</v>
      </c>
      <c r="O50" s="2">
        <v>449.05</v>
      </c>
      <c r="P50" s="2" t="s">
        <v>27</v>
      </c>
      <c r="Q50" s="2" t="s">
        <v>28</v>
      </c>
    </row>
    <row r="51" spans="1:17" x14ac:dyDescent="0.35">
      <c r="A51" s="3" t="s">
        <v>222</v>
      </c>
      <c r="B51" s="3" t="s">
        <v>189</v>
      </c>
      <c r="C51" s="3" t="s">
        <v>46</v>
      </c>
      <c r="D51" s="3" t="s">
        <v>20</v>
      </c>
      <c r="E51" s="3" t="s">
        <v>72</v>
      </c>
      <c r="F51" s="3" t="s">
        <v>33</v>
      </c>
      <c r="G51" s="3" t="s">
        <v>23</v>
      </c>
      <c r="H51" s="3" t="s">
        <v>24</v>
      </c>
      <c r="I51" s="3" t="s">
        <v>42</v>
      </c>
      <c r="J51" s="3" t="s">
        <v>149</v>
      </c>
      <c r="K51" s="3">
        <v>8</v>
      </c>
      <c r="L51" s="3">
        <v>180</v>
      </c>
      <c r="M51" s="3">
        <v>5</v>
      </c>
      <c r="N51" s="3">
        <v>1368</v>
      </c>
      <c r="O51" s="3">
        <v>128.01</v>
      </c>
      <c r="P51" s="3" t="s">
        <v>37</v>
      </c>
      <c r="Q51" s="3" t="s">
        <v>28</v>
      </c>
    </row>
    <row r="52" spans="1:17" x14ac:dyDescent="0.35">
      <c r="A52" s="2" t="s">
        <v>223</v>
      </c>
      <c r="B52" s="2" t="s">
        <v>103</v>
      </c>
      <c r="C52" s="2" t="s">
        <v>78</v>
      </c>
      <c r="D52" s="2" t="s">
        <v>20</v>
      </c>
      <c r="E52" s="2" t="s">
        <v>79</v>
      </c>
      <c r="F52" s="2" t="s">
        <v>56</v>
      </c>
      <c r="G52" s="2" t="s">
        <v>73</v>
      </c>
      <c r="H52" s="2" t="s">
        <v>74</v>
      </c>
      <c r="I52" s="2" t="s">
        <v>42</v>
      </c>
      <c r="J52" s="2" t="s">
        <v>43</v>
      </c>
      <c r="K52" s="2">
        <v>2</v>
      </c>
      <c r="L52" s="2">
        <v>220</v>
      </c>
      <c r="M52" s="2">
        <v>15</v>
      </c>
      <c r="N52" s="2">
        <v>374</v>
      </c>
      <c r="O52" s="2">
        <v>31.88</v>
      </c>
      <c r="P52" s="2" t="s">
        <v>27</v>
      </c>
      <c r="Q52" s="2" t="s">
        <v>28</v>
      </c>
    </row>
    <row r="53" spans="1:17" x14ac:dyDescent="0.35">
      <c r="A53" s="3" t="s">
        <v>224</v>
      </c>
      <c r="B53" s="3" t="s">
        <v>225</v>
      </c>
      <c r="C53" s="3" t="s">
        <v>161</v>
      </c>
      <c r="D53" s="3" t="s">
        <v>20</v>
      </c>
      <c r="E53" s="3" t="s">
        <v>226</v>
      </c>
      <c r="F53" s="3" t="s">
        <v>22</v>
      </c>
      <c r="G53" s="3" t="s">
        <v>23</v>
      </c>
      <c r="H53" s="3" t="s">
        <v>24</v>
      </c>
      <c r="I53" s="3" t="s">
        <v>35</v>
      </c>
      <c r="J53" s="3" t="s">
        <v>126</v>
      </c>
      <c r="K53" s="3">
        <v>1</v>
      </c>
      <c r="L53" s="3">
        <v>1299</v>
      </c>
      <c r="M53" s="3">
        <v>20</v>
      </c>
      <c r="N53" s="3">
        <v>1039.2</v>
      </c>
      <c r="O53" s="3">
        <v>125.89</v>
      </c>
      <c r="P53" s="3" t="s">
        <v>37</v>
      </c>
      <c r="Q53" s="3" t="s">
        <v>28</v>
      </c>
    </row>
    <row r="54" spans="1:17" x14ac:dyDescent="0.35">
      <c r="A54" s="2" t="s">
        <v>227</v>
      </c>
      <c r="B54" s="2" t="s">
        <v>228</v>
      </c>
      <c r="C54" s="2" t="s">
        <v>129</v>
      </c>
      <c r="D54" s="2" t="s">
        <v>20</v>
      </c>
      <c r="E54" s="2" t="s">
        <v>229</v>
      </c>
      <c r="F54" s="2" t="s">
        <v>56</v>
      </c>
      <c r="G54" s="2" t="s">
        <v>66</v>
      </c>
      <c r="H54" s="2" t="s">
        <v>86</v>
      </c>
      <c r="I54" s="2" t="s">
        <v>25</v>
      </c>
      <c r="J54" s="2" t="s">
        <v>62</v>
      </c>
      <c r="K54" s="2">
        <v>3</v>
      </c>
      <c r="L54" s="2">
        <v>3200</v>
      </c>
      <c r="M54" s="2">
        <v>20</v>
      </c>
      <c r="N54" s="2">
        <v>7680</v>
      </c>
      <c r="O54" s="2">
        <v>1873.59</v>
      </c>
      <c r="P54" s="2" t="s">
        <v>27</v>
      </c>
      <c r="Q54" s="2" t="s">
        <v>28</v>
      </c>
    </row>
    <row r="55" spans="1:17" x14ac:dyDescent="0.35">
      <c r="A55" s="3" t="s">
        <v>230</v>
      </c>
      <c r="B55" s="3" t="s">
        <v>231</v>
      </c>
      <c r="C55" s="3" t="s">
        <v>31</v>
      </c>
      <c r="D55" s="3" t="s">
        <v>20</v>
      </c>
      <c r="E55" s="3" t="s">
        <v>201</v>
      </c>
      <c r="F55" s="3" t="s">
        <v>33</v>
      </c>
      <c r="G55" s="3" t="s">
        <v>48</v>
      </c>
      <c r="H55" s="3" t="s">
        <v>109</v>
      </c>
      <c r="I55" s="3" t="s">
        <v>42</v>
      </c>
      <c r="J55" s="3" t="s">
        <v>149</v>
      </c>
      <c r="K55" s="3">
        <v>2</v>
      </c>
      <c r="L55" s="3">
        <v>180</v>
      </c>
      <c r="M55" s="3">
        <v>20</v>
      </c>
      <c r="N55" s="3">
        <v>288</v>
      </c>
      <c r="O55" s="3">
        <v>76.739999999999995</v>
      </c>
      <c r="P55" s="3" t="s">
        <v>27</v>
      </c>
      <c r="Q55" s="3" t="s">
        <v>28</v>
      </c>
    </row>
    <row r="56" spans="1:17" x14ac:dyDescent="0.35">
      <c r="A56" s="2" t="s">
        <v>232</v>
      </c>
      <c r="B56" s="2" t="s">
        <v>233</v>
      </c>
      <c r="C56" s="2" t="s">
        <v>31</v>
      </c>
      <c r="D56" s="2" t="s">
        <v>20</v>
      </c>
      <c r="E56" s="2" t="s">
        <v>234</v>
      </c>
      <c r="F56" s="2" t="s">
        <v>33</v>
      </c>
      <c r="G56" s="2" t="s">
        <v>23</v>
      </c>
      <c r="H56" s="2" t="s">
        <v>24</v>
      </c>
      <c r="I56" s="2" t="s">
        <v>25</v>
      </c>
      <c r="J56" s="2" t="s">
        <v>94</v>
      </c>
      <c r="K56" s="2">
        <v>7</v>
      </c>
      <c r="L56" s="2">
        <v>18000</v>
      </c>
      <c r="M56" s="2">
        <v>10</v>
      </c>
      <c r="N56" s="2">
        <v>113400</v>
      </c>
      <c r="O56" s="2">
        <v>11183.32</v>
      </c>
      <c r="P56" s="2" t="s">
        <v>37</v>
      </c>
      <c r="Q56" s="2" t="s">
        <v>28</v>
      </c>
    </row>
    <row r="57" spans="1:17" x14ac:dyDescent="0.35">
      <c r="A57" s="3" t="s">
        <v>235</v>
      </c>
      <c r="B57" s="3" t="s">
        <v>236</v>
      </c>
      <c r="C57" s="3" t="s">
        <v>71</v>
      </c>
      <c r="D57" s="3" t="s">
        <v>20</v>
      </c>
      <c r="E57" s="3" t="s">
        <v>178</v>
      </c>
      <c r="F57" s="3" t="s">
        <v>22</v>
      </c>
      <c r="G57" s="3" t="s">
        <v>23</v>
      </c>
      <c r="H57" s="3" t="s">
        <v>131</v>
      </c>
      <c r="I57" s="3" t="s">
        <v>25</v>
      </c>
      <c r="J57" s="3" t="s">
        <v>237</v>
      </c>
      <c r="K57" s="3">
        <v>3</v>
      </c>
      <c r="L57" s="3">
        <v>22000</v>
      </c>
      <c r="M57" s="3">
        <v>15</v>
      </c>
      <c r="N57" s="3">
        <v>56100</v>
      </c>
      <c r="O57" s="3">
        <v>7155.95</v>
      </c>
      <c r="P57" s="3" t="s">
        <v>37</v>
      </c>
      <c r="Q57" s="3" t="s">
        <v>28</v>
      </c>
    </row>
    <row r="58" spans="1:17" x14ac:dyDescent="0.35">
      <c r="A58" s="2" t="s">
        <v>238</v>
      </c>
      <c r="B58" s="2" t="s">
        <v>239</v>
      </c>
      <c r="C58" s="2" t="s">
        <v>129</v>
      </c>
      <c r="D58" s="2" t="s">
        <v>20</v>
      </c>
      <c r="E58" s="2" t="s">
        <v>125</v>
      </c>
      <c r="F58" s="2" t="s">
        <v>56</v>
      </c>
      <c r="G58" s="2" t="s">
        <v>73</v>
      </c>
      <c r="H58" s="2" t="s">
        <v>211</v>
      </c>
      <c r="I58" s="2" t="s">
        <v>80</v>
      </c>
      <c r="J58" s="2" t="s">
        <v>240</v>
      </c>
      <c r="K58" s="2">
        <v>6</v>
      </c>
      <c r="L58" s="2">
        <v>600</v>
      </c>
      <c r="M58" s="2">
        <v>5</v>
      </c>
      <c r="N58" s="2">
        <v>3420</v>
      </c>
      <c r="O58" s="2">
        <v>1040.7</v>
      </c>
      <c r="P58" s="2" t="s">
        <v>37</v>
      </c>
      <c r="Q58" s="2" t="s">
        <v>28</v>
      </c>
    </row>
    <row r="59" spans="1:17" x14ac:dyDescent="0.35">
      <c r="A59" s="3" t="s">
        <v>241</v>
      </c>
      <c r="B59" s="3" t="s">
        <v>242</v>
      </c>
      <c r="C59" s="3" t="s">
        <v>40</v>
      </c>
      <c r="D59" s="3" t="s">
        <v>20</v>
      </c>
      <c r="E59" s="3" t="s">
        <v>55</v>
      </c>
      <c r="F59" s="3" t="s">
        <v>56</v>
      </c>
      <c r="G59" s="3" t="s">
        <v>73</v>
      </c>
      <c r="H59" s="3" t="s">
        <v>74</v>
      </c>
      <c r="I59" s="3" t="s">
        <v>50</v>
      </c>
      <c r="J59" s="3" t="s">
        <v>51</v>
      </c>
      <c r="K59" s="3">
        <v>6</v>
      </c>
      <c r="L59" s="3">
        <v>32000</v>
      </c>
      <c r="M59" s="3">
        <v>5</v>
      </c>
      <c r="N59" s="3">
        <v>182400</v>
      </c>
      <c r="O59" s="3">
        <v>38602.86</v>
      </c>
      <c r="P59" s="3" t="s">
        <v>37</v>
      </c>
      <c r="Q59" s="3" t="s">
        <v>82</v>
      </c>
    </row>
    <row r="60" spans="1:17" x14ac:dyDescent="0.35">
      <c r="A60" s="2" t="s">
        <v>243</v>
      </c>
      <c r="B60" s="2" t="s">
        <v>96</v>
      </c>
      <c r="C60" s="2" t="s">
        <v>71</v>
      </c>
      <c r="D60" s="2" t="s">
        <v>20</v>
      </c>
      <c r="E60" s="2" t="s">
        <v>244</v>
      </c>
      <c r="F60" s="2" t="s">
        <v>22</v>
      </c>
      <c r="G60" s="2" t="s">
        <v>48</v>
      </c>
      <c r="H60" s="2" t="s">
        <v>169</v>
      </c>
      <c r="I60" s="2" t="s">
        <v>80</v>
      </c>
      <c r="J60" s="2" t="s">
        <v>119</v>
      </c>
      <c r="K60" s="2">
        <v>2</v>
      </c>
      <c r="L60" s="2">
        <v>800</v>
      </c>
      <c r="M60" s="2">
        <v>5</v>
      </c>
      <c r="N60" s="2">
        <v>1520</v>
      </c>
      <c r="O60" s="2">
        <v>417.12</v>
      </c>
      <c r="P60" s="2" t="s">
        <v>27</v>
      </c>
      <c r="Q60" s="2" t="s">
        <v>28</v>
      </c>
    </row>
    <row r="61" spans="1:17" x14ac:dyDescent="0.35">
      <c r="A61" s="3" t="s">
        <v>245</v>
      </c>
      <c r="B61" s="3" t="s">
        <v>246</v>
      </c>
      <c r="C61" s="3" t="s">
        <v>134</v>
      </c>
      <c r="D61" s="3" t="s">
        <v>20</v>
      </c>
      <c r="E61" s="3" t="s">
        <v>247</v>
      </c>
      <c r="F61" s="3" t="s">
        <v>22</v>
      </c>
      <c r="G61" s="3" t="s">
        <v>73</v>
      </c>
      <c r="H61" s="3" t="s">
        <v>211</v>
      </c>
      <c r="I61" s="3" t="s">
        <v>50</v>
      </c>
      <c r="J61" s="3" t="s">
        <v>58</v>
      </c>
      <c r="K61" s="3">
        <v>5</v>
      </c>
      <c r="L61" s="3">
        <v>18000</v>
      </c>
      <c r="M61" s="3">
        <v>5</v>
      </c>
      <c r="N61" s="3">
        <v>85500</v>
      </c>
      <c r="O61" s="3">
        <v>16175.6</v>
      </c>
      <c r="P61" s="3" t="s">
        <v>37</v>
      </c>
      <c r="Q61" s="3" t="s">
        <v>28</v>
      </c>
    </row>
    <row r="62" spans="1:17" x14ac:dyDescent="0.35">
      <c r="A62" s="2" t="s">
        <v>248</v>
      </c>
      <c r="B62" s="2" t="s">
        <v>249</v>
      </c>
      <c r="C62" s="2" t="s">
        <v>134</v>
      </c>
      <c r="D62" s="2" t="s">
        <v>20</v>
      </c>
      <c r="E62" s="2" t="s">
        <v>250</v>
      </c>
      <c r="F62" s="2" t="s">
        <v>33</v>
      </c>
      <c r="G62" s="2" t="s">
        <v>48</v>
      </c>
      <c r="H62" s="2" t="s">
        <v>109</v>
      </c>
      <c r="I62" s="2" t="s">
        <v>80</v>
      </c>
      <c r="J62" s="2" t="s">
        <v>240</v>
      </c>
      <c r="K62" s="2">
        <v>6</v>
      </c>
      <c r="L62" s="2">
        <v>600</v>
      </c>
      <c r="M62" s="2">
        <v>15</v>
      </c>
      <c r="N62" s="2">
        <v>3060</v>
      </c>
      <c r="O62" s="2">
        <v>468.63</v>
      </c>
      <c r="P62" s="2" t="s">
        <v>27</v>
      </c>
      <c r="Q62" s="2" t="s">
        <v>28</v>
      </c>
    </row>
    <row r="63" spans="1:17" x14ac:dyDescent="0.35">
      <c r="A63" s="3" t="s">
        <v>251</v>
      </c>
      <c r="B63" s="3" t="s">
        <v>252</v>
      </c>
      <c r="C63" s="3" t="s">
        <v>71</v>
      </c>
      <c r="D63" s="3" t="s">
        <v>20</v>
      </c>
      <c r="E63" s="3" t="s">
        <v>253</v>
      </c>
      <c r="F63" s="3" t="s">
        <v>33</v>
      </c>
      <c r="G63" s="3" t="s">
        <v>23</v>
      </c>
      <c r="H63" s="3" t="s">
        <v>34</v>
      </c>
      <c r="I63" s="3" t="s">
        <v>35</v>
      </c>
      <c r="J63" s="3" t="s">
        <v>126</v>
      </c>
      <c r="K63" s="3">
        <v>8</v>
      </c>
      <c r="L63" s="3">
        <v>1299</v>
      </c>
      <c r="M63" s="3">
        <v>10</v>
      </c>
      <c r="N63" s="3">
        <v>9352.7999999999993</v>
      </c>
      <c r="O63" s="3">
        <v>2577.9899999999998</v>
      </c>
      <c r="P63" s="3" t="s">
        <v>37</v>
      </c>
      <c r="Q63" s="3" t="s">
        <v>28</v>
      </c>
    </row>
    <row r="64" spans="1:17" x14ac:dyDescent="0.35">
      <c r="A64" s="2" t="s">
        <v>254</v>
      </c>
      <c r="B64" s="2" t="s">
        <v>255</v>
      </c>
      <c r="C64" s="2" t="s">
        <v>256</v>
      </c>
      <c r="D64" s="2" t="s">
        <v>20</v>
      </c>
      <c r="E64" s="2" t="s">
        <v>165</v>
      </c>
      <c r="F64" s="2" t="s">
        <v>22</v>
      </c>
      <c r="G64" s="2" t="s">
        <v>48</v>
      </c>
      <c r="H64" s="2" t="s">
        <v>57</v>
      </c>
      <c r="I64" s="2" t="s">
        <v>25</v>
      </c>
      <c r="J64" s="2" t="s">
        <v>257</v>
      </c>
      <c r="K64" s="2">
        <v>9</v>
      </c>
      <c r="L64" s="2">
        <v>8500</v>
      </c>
      <c r="M64" s="2">
        <v>5</v>
      </c>
      <c r="N64" s="2">
        <v>72675</v>
      </c>
      <c r="O64" s="2">
        <v>11196.61</v>
      </c>
      <c r="P64" s="2" t="s">
        <v>37</v>
      </c>
      <c r="Q64" s="2" t="s">
        <v>28</v>
      </c>
    </row>
    <row r="65" spans="1:17" x14ac:dyDescent="0.35">
      <c r="A65" s="3" t="s">
        <v>258</v>
      </c>
      <c r="B65" s="3" t="s">
        <v>259</v>
      </c>
      <c r="C65" s="3" t="s">
        <v>40</v>
      </c>
      <c r="D65" s="3" t="s">
        <v>20</v>
      </c>
      <c r="E65" s="3" t="s">
        <v>260</v>
      </c>
      <c r="F65" s="3" t="s">
        <v>33</v>
      </c>
      <c r="G65" s="3" t="s">
        <v>73</v>
      </c>
      <c r="H65" s="3" t="s">
        <v>93</v>
      </c>
      <c r="I65" s="3" t="s">
        <v>50</v>
      </c>
      <c r="J65" s="3" t="s">
        <v>142</v>
      </c>
      <c r="K65" s="3">
        <v>5</v>
      </c>
      <c r="L65" s="3">
        <v>15000</v>
      </c>
      <c r="M65" s="3">
        <v>15</v>
      </c>
      <c r="N65" s="3">
        <v>63750</v>
      </c>
      <c r="O65" s="3">
        <v>13339.87</v>
      </c>
      <c r="P65" s="3" t="s">
        <v>27</v>
      </c>
      <c r="Q65" s="3" t="s">
        <v>82</v>
      </c>
    </row>
    <row r="66" spans="1:17" x14ac:dyDescent="0.35">
      <c r="A66" s="2" t="s">
        <v>261</v>
      </c>
      <c r="B66" s="2" t="s">
        <v>262</v>
      </c>
      <c r="C66" s="2" t="s">
        <v>19</v>
      </c>
      <c r="D66" s="2" t="s">
        <v>20</v>
      </c>
      <c r="E66" s="2" t="s">
        <v>214</v>
      </c>
      <c r="F66" s="2" t="s">
        <v>33</v>
      </c>
      <c r="G66" s="2" t="s">
        <v>73</v>
      </c>
      <c r="H66" s="2" t="s">
        <v>93</v>
      </c>
      <c r="I66" s="2" t="s">
        <v>50</v>
      </c>
      <c r="J66" s="2" t="s">
        <v>51</v>
      </c>
      <c r="K66" s="2">
        <v>8</v>
      </c>
      <c r="L66" s="2">
        <v>32000</v>
      </c>
      <c r="M66" s="2">
        <v>0</v>
      </c>
      <c r="N66" s="2">
        <v>256000</v>
      </c>
      <c r="O66" s="2">
        <v>60363.7</v>
      </c>
      <c r="P66" s="2" t="s">
        <v>27</v>
      </c>
      <c r="Q66" s="2" t="s">
        <v>28</v>
      </c>
    </row>
    <row r="67" spans="1:17" x14ac:dyDescent="0.35">
      <c r="A67" s="3" t="s">
        <v>263</v>
      </c>
      <c r="B67" s="3" t="s">
        <v>264</v>
      </c>
      <c r="C67" s="3" t="s">
        <v>31</v>
      </c>
      <c r="D67" s="3" t="s">
        <v>20</v>
      </c>
      <c r="E67" s="3" t="s">
        <v>41</v>
      </c>
      <c r="F67" s="3" t="s">
        <v>22</v>
      </c>
      <c r="G67" s="3" t="s">
        <v>48</v>
      </c>
      <c r="H67" s="3" t="s">
        <v>169</v>
      </c>
      <c r="I67" s="3" t="s">
        <v>35</v>
      </c>
      <c r="J67" s="3" t="s">
        <v>205</v>
      </c>
      <c r="K67" s="3">
        <v>9</v>
      </c>
      <c r="L67" s="3">
        <v>499</v>
      </c>
      <c r="M67" s="3">
        <v>15</v>
      </c>
      <c r="N67" s="3">
        <v>3817.35</v>
      </c>
      <c r="O67" s="3">
        <v>930.31</v>
      </c>
      <c r="P67" s="3" t="s">
        <v>27</v>
      </c>
      <c r="Q67" s="3" t="s">
        <v>28</v>
      </c>
    </row>
    <row r="68" spans="1:17" x14ac:dyDescent="0.35">
      <c r="A68" s="2" t="s">
        <v>265</v>
      </c>
      <c r="B68" s="2" t="s">
        <v>266</v>
      </c>
      <c r="C68" s="2" t="s">
        <v>31</v>
      </c>
      <c r="D68" s="2" t="s">
        <v>20</v>
      </c>
      <c r="E68" s="2" t="s">
        <v>267</v>
      </c>
      <c r="F68" s="2" t="s">
        <v>33</v>
      </c>
      <c r="G68" s="2" t="s">
        <v>73</v>
      </c>
      <c r="H68" s="2" t="s">
        <v>74</v>
      </c>
      <c r="I68" s="2" t="s">
        <v>80</v>
      </c>
      <c r="J68" s="2" t="s">
        <v>110</v>
      </c>
      <c r="K68" s="2">
        <v>5</v>
      </c>
      <c r="L68" s="2">
        <v>1200</v>
      </c>
      <c r="M68" s="2">
        <v>20</v>
      </c>
      <c r="N68" s="2">
        <v>4800</v>
      </c>
      <c r="O68" s="2">
        <v>1188.8499999999999</v>
      </c>
      <c r="P68" s="2" t="s">
        <v>27</v>
      </c>
      <c r="Q68" s="2" t="s">
        <v>28</v>
      </c>
    </row>
    <row r="69" spans="1:17" x14ac:dyDescent="0.35">
      <c r="A69" s="3" t="s">
        <v>268</v>
      </c>
      <c r="B69" s="3" t="s">
        <v>269</v>
      </c>
      <c r="C69" s="3" t="s">
        <v>46</v>
      </c>
      <c r="D69" s="3" t="s">
        <v>20</v>
      </c>
      <c r="E69" s="3" t="s">
        <v>270</v>
      </c>
      <c r="F69" s="3" t="s">
        <v>22</v>
      </c>
      <c r="G69" s="3" t="s">
        <v>23</v>
      </c>
      <c r="H69" s="3" t="s">
        <v>34</v>
      </c>
      <c r="I69" s="3" t="s">
        <v>35</v>
      </c>
      <c r="J69" s="3" t="s">
        <v>126</v>
      </c>
      <c r="K69" s="3">
        <v>9</v>
      </c>
      <c r="L69" s="3">
        <v>1299</v>
      </c>
      <c r="M69" s="3">
        <v>0</v>
      </c>
      <c r="N69" s="3">
        <v>11691</v>
      </c>
      <c r="O69" s="3">
        <v>1429.39</v>
      </c>
      <c r="P69" s="3" t="s">
        <v>37</v>
      </c>
      <c r="Q69" s="3" t="s">
        <v>28</v>
      </c>
    </row>
    <row r="70" spans="1:17" x14ac:dyDescent="0.35">
      <c r="A70" s="2" t="s">
        <v>271</v>
      </c>
      <c r="B70" s="2" t="s">
        <v>133</v>
      </c>
      <c r="C70" s="2" t="s">
        <v>134</v>
      </c>
      <c r="D70" s="2" t="s">
        <v>20</v>
      </c>
      <c r="E70" s="2" t="s">
        <v>226</v>
      </c>
      <c r="F70" s="2" t="s">
        <v>56</v>
      </c>
      <c r="G70" s="2" t="s">
        <v>23</v>
      </c>
      <c r="H70" s="2" t="s">
        <v>34</v>
      </c>
      <c r="I70" s="2" t="s">
        <v>25</v>
      </c>
      <c r="J70" s="2" t="s">
        <v>62</v>
      </c>
      <c r="K70" s="2">
        <v>8</v>
      </c>
      <c r="L70" s="2">
        <v>3200</v>
      </c>
      <c r="M70" s="2">
        <v>0</v>
      </c>
      <c r="N70" s="2">
        <v>25600</v>
      </c>
      <c r="O70" s="2">
        <v>6799.2</v>
      </c>
      <c r="P70" s="2" t="s">
        <v>27</v>
      </c>
      <c r="Q70" s="2" t="s">
        <v>28</v>
      </c>
    </row>
    <row r="71" spans="1:17" x14ac:dyDescent="0.35">
      <c r="A71" s="3" t="s">
        <v>272</v>
      </c>
      <c r="B71" s="3" t="s">
        <v>273</v>
      </c>
      <c r="C71" s="3" t="s">
        <v>78</v>
      </c>
      <c r="D71" s="3" t="s">
        <v>20</v>
      </c>
      <c r="E71" s="3" t="s">
        <v>141</v>
      </c>
      <c r="F71" s="3" t="s">
        <v>56</v>
      </c>
      <c r="G71" s="3" t="s">
        <v>66</v>
      </c>
      <c r="H71" s="3" t="s">
        <v>98</v>
      </c>
      <c r="I71" s="3" t="s">
        <v>35</v>
      </c>
      <c r="J71" s="3" t="s">
        <v>205</v>
      </c>
      <c r="K71" s="3">
        <v>1</v>
      </c>
      <c r="L71" s="3">
        <v>499</v>
      </c>
      <c r="M71" s="3">
        <v>5</v>
      </c>
      <c r="N71" s="3">
        <v>474.05</v>
      </c>
      <c r="O71" s="3">
        <v>139.38</v>
      </c>
      <c r="P71" s="3" t="s">
        <v>37</v>
      </c>
      <c r="Q71" s="3" t="s">
        <v>28</v>
      </c>
    </row>
    <row r="72" spans="1:17" x14ac:dyDescent="0.35">
      <c r="A72" s="2" t="s">
        <v>274</v>
      </c>
      <c r="B72" s="2" t="s">
        <v>275</v>
      </c>
      <c r="C72" s="2" t="s">
        <v>31</v>
      </c>
      <c r="D72" s="2" t="s">
        <v>20</v>
      </c>
      <c r="E72" s="2" t="s">
        <v>162</v>
      </c>
      <c r="F72" s="2" t="s">
        <v>56</v>
      </c>
      <c r="G72" s="2" t="s">
        <v>48</v>
      </c>
      <c r="H72" s="2" t="s">
        <v>109</v>
      </c>
      <c r="I72" s="2" t="s">
        <v>25</v>
      </c>
      <c r="J72" s="2" t="s">
        <v>94</v>
      </c>
      <c r="K72" s="2">
        <v>9</v>
      </c>
      <c r="L72" s="2">
        <v>18000</v>
      </c>
      <c r="M72" s="2">
        <v>15</v>
      </c>
      <c r="N72" s="2">
        <v>137700</v>
      </c>
      <c r="O72" s="2">
        <v>27291.439999999999</v>
      </c>
      <c r="P72" s="2" t="s">
        <v>27</v>
      </c>
      <c r="Q72" s="2" t="s">
        <v>28</v>
      </c>
    </row>
    <row r="73" spans="1:17" x14ac:dyDescent="0.35">
      <c r="A73" s="3" t="s">
        <v>276</v>
      </c>
      <c r="B73" s="3" t="s">
        <v>277</v>
      </c>
      <c r="C73" s="3" t="s">
        <v>19</v>
      </c>
      <c r="D73" s="3" t="s">
        <v>20</v>
      </c>
      <c r="E73" s="3" t="s">
        <v>278</v>
      </c>
      <c r="F73" s="3" t="s">
        <v>22</v>
      </c>
      <c r="G73" s="3" t="s">
        <v>48</v>
      </c>
      <c r="H73" s="3" t="s">
        <v>169</v>
      </c>
      <c r="I73" s="3" t="s">
        <v>50</v>
      </c>
      <c r="J73" s="3" t="s">
        <v>75</v>
      </c>
      <c r="K73" s="3">
        <v>10</v>
      </c>
      <c r="L73" s="3">
        <v>45000</v>
      </c>
      <c r="M73" s="3">
        <v>20</v>
      </c>
      <c r="N73" s="3">
        <v>360000</v>
      </c>
      <c r="O73" s="3">
        <v>121216.43</v>
      </c>
      <c r="P73" s="3" t="s">
        <v>37</v>
      </c>
      <c r="Q73" s="3" t="s">
        <v>28</v>
      </c>
    </row>
    <row r="74" spans="1:17" x14ac:dyDescent="0.35">
      <c r="A74" s="2" t="s">
        <v>279</v>
      </c>
      <c r="B74" s="2" t="s">
        <v>183</v>
      </c>
      <c r="C74" s="2" t="s">
        <v>117</v>
      </c>
      <c r="D74" s="2" t="s">
        <v>20</v>
      </c>
      <c r="E74" s="2" t="s">
        <v>244</v>
      </c>
      <c r="F74" s="2" t="s">
        <v>33</v>
      </c>
      <c r="G74" s="2" t="s">
        <v>66</v>
      </c>
      <c r="H74" s="2" t="s">
        <v>86</v>
      </c>
      <c r="I74" s="2" t="s">
        <v>80</v>
      </c>
      <c r="J74" s="2" t="s">
        <v>110</v>
      </c>
      <c r="K74" s="2">
        <v>5</v>
      </c>
      <c r="L74" s="2">
        <v>1200</v>
      </c>
      <c r="M74" s="2">
        <v>5</v>
      </c>
      <c r="N74" s="2">
        <v>5700</v>
      </c>
      <c r="O74" s="2">
        <v>1990.3</v>
      </c>
      <c r="P74" s="2" t="s">
        <v>37</v>
      </c>
      <c r="Q74" s="2" t="s">
        <v>28</v>
      </c>
    </row>
    <row r="75" spans="1:17" x14ac:dyDescent="0.35">
      <c r="A75" s="3" t="s">
        <v>280</v>
      </c>
      <c r="B75" s="3" t="s">
        <v>281</v>
      </c>
      <c r="C75" s="3" t="s">
        <v>134</v>
      </c>
      <c r="D75" s="3" t="s">
        <v>20</v>
      </c>
      <c r="E75" s="3" t="s">
        <v>65</v>
      </c>
      <c r="F75" s="3" t="s">
        <v>22</v>
      </c>
      <c r="G75" s="3" t="s">
        <v>48</v>
      </c>
      <c r="H75" s="3" t="s">
        <v>49</v>
      </c>
      <c r="I75" s="3" t="s">
        <v>50</v>
      </c>
      <c r="J75" s="3" t="s">
        <v>75</v>
      </c>
      <c r="K75" s="3">
        <v>6</v>
      </c>
      <c r="L75" s="3">
        <v>45000</v>
      </c>
      <c r="M75" s="3">
        <v>15</v>
      </c>
      <c r="N75" s="3">
        <v>229500</v>
      </c>
      <c r="O75" s="3">
        <v>61343.49</v>
      </c>
      <c r="P75" s="3" t="s">
        <v>37</v>
      </c>
      <c r="Q75" s="3" t="s">
        <v>28</v>
      </c>
    </row>
    <row r="76" spans="1:17" x14ac:dyDescent="0.35">
      <c r="A76" s="2" t="s">
        <v>282</v>
      </c>
      <c r="B76" s="2" t="s">
        <v>283</v>
      </c>
      <c r="C76" s="2" t="s">
        <v>256</v>
      </c>
      <c r="D76" s="2" t="s">
        <v>20</v>
      </c>
      <c r="E76" s="2" t="s">
        <v>284</v>
      </c>
      <c r="F76" s="2" t="s">
        <v>56</v>
      </c>
      <c r="G76" s="2" t="s">
        <v>48</v>
      </c>
      <c r="H76" s="2" t="s">
        <v>49</v>
      </c>
      <c r="I76" s="2" t="s">
        <v>25</v>
      </c>
      <c r="J76" s="2" t="s">
        <v>257</v>
      </c>
      <c r="K76" s="2">
        <v>7</v>
      </c>
      <c r="L76" s="2">
        <v>8500</v>
      </c>
      <c r="M76" s="2">
        <v>20</v>
      </c>
      <c r="N76" s="2">
        <v>47600</v>
      </c>
      <c r="O76" s="2">
        <v>14409.96</v>
      </c>
      <c r="P76" s="2" t="s">
        <v>37</v>
      </c>
      <c r="Q76" s="2" t="s">
        <v>28</v>
      </c>
    </row>
    <row r="77" spans="1:17" x14ac:dyDescent="0.35">
      <c r="A77" s="3" t="s">
        <v>285</v>
      </c>
      <c r="B77" s="3" t="s">
        <v>281</v>
      </c>
      <c r="C77" s="3" t="s">
        <v>134</v>
      </c>
      <c r="D77" s="3" t="s">
        <v>20</v>
      </c>
      <c r="E77" s="3" t="s">
        <v>158</v>
      </c>
      <c r="F77" s="3" t="s">
        <v>22</v>
      </c>
      <c r="G77" s="3" t="s">
        <v>48</v>
      </c>
      <c r="H77" s="3" t="s">
        <v>109</v>
      </c>
      <c r="I77" s="3" t="s">
        <v>42</v>
      </c>
      <c r="J77" s="3" t="s">
        <v>187</v>
      </c>
      <c r="K77" s="3">
        <v>4</v>
      </c>
      <c r="L77" s="3">
        <v>350</v>
      </c>
      <c r="M77" s="3">
        <v>10</v>
      </c>
      <c r="N77" s="3">
        <v>1260</v>
      </c>
      <c r="O77" s="3">
        <v>287.64</v>
      </c>
      <c r="P77" s="3" t="s">
        <v>37</v>
      </c>
      <c r="Q77" s="3" t="s">
        <v>28</v>
      </c>
    </row>
    <row r="78" spans="1:17" x14ac:dyDescent="0.35">
      <c r="A78" s="2" t="s">
        <v>286</v>
      </c>
      <c r="B78" s="2" t="s">
        <v>287</v>
      </c>
      <c r="C78" s="2" t="s">
        <v>54</v>
      </c>
      <c r="D78" s="2" t="s">
        <v>20</v>
      </c>
      <c r="E78" s="2" t="s">
        <v>141</v>
      </c>
      <c r="F78" s="2" t="s">
        <v>56</v>
      </c>
      <c r="G78" s="2" t="s">
        <v>66</v>
      </c>
      <c r="H78" s="2" t="s">
        <v>67</v>
      </c>
      <c r="I78" s="2" t="s">
        <v>25</v>
      </c>
      <c r="J78" s="2" t="s">
        <v>94</v>
      </c>
      <c r="K78" s="2">
        <v>1</v>
      </c>
      <c r="L78" s="2">
        <v>18000</v>
      </c>
      <c r="M78" s="2">
        <v>20</v>
      </c>
      <c r="N78" s="2">
        <v>14400</v>
      </c>
      <c r="O78" s="2">
        <v>2738.27</v>
      </c>
      <c r="P78" s="2" t="s">
        <v>27</v>
      </c>
      <c r="Q78" s="2" t="s">
        <v>28</v>
      </c>
    </row>
    <row r="79" spans="1:17" x14ac:dyDescent="0.35">
      <c r="A79" s="3" t="s">
        <v>288</v>
      </c>
      <c r="B79" s="3" t="s">
        <v>289</v>
      </c>
      <c r="C79" s="3" t="s">
        <v>117</v>
      </c>
      <c r="D79" s="3" t="s">
        <v>20</v>
      </c>
      <c r="E79" s="3" t="s">
        <v>108</v>
      </c>
      <c r="F79" s="3" t="s">
        <v>56</v>
      </c>
      <c r="G79" s="3" t="s">
        <v>66</v>
      </c>
      <c r="H79" s="3" t="s">
        <v>86</v>
      </c>
      <c r="I79" s="3" t="s">
        <v>25</v>
      </c>
      <c r="J79" s="3" t="s">
        <v>94</v>
      </c>
      <c r="K79" s="3">
        <v>5</v>
      </c>
      <c r="L79" s="3">
        <v>18000</v>
      </c>
      <c r="M79" s="3">
        <v>15</v>
      </c>
      <c r="N79" s="3">
        <v>76500</v>
      </c>
      <c r="O79" s="3">
        <v>23361.22</v>
      </c>
      <c r="P79" s="3" t="s">
        <v>27</v>
      </c>
      <c r="Q79" s="3" t="s">
        <v>28</v>
      </c>
    </row>
    <row r="80" spans="1:17" x14ac:dyDescent="0.35">
      <c r="A80" s="2" t="s">
        <v>290</v>
      </c>
      <c r="B80" s="2" t="s">
        <v>291</v>
      </c>
      <c r="C80" s="2" t="s">
        <v>71</v>
      </c>
      <c r="D80" s="2" t="s">
        <v>20</v>
      </c>
      <c r="E80" s="2" t="s">
        <v>292</v>
      </c>
      <c r="F80" s="2" t="s">
        <v>33</v>
      </c>
      <c r="G80" s="2" t="s">
        <v>66</v>
      </c>
      <c r="H80" s="2" t="s">
        <v>67</v>
      </c>
      <c r="I80" s="2" t="s">
        <v>50</v>
      </c>
      <c r="J80" s="2" t="s">
        <v>198</v>
      </c>
      <c r="K80" s="2">
        <v>7</v>
      </c>
      <c r="L80" s="2">
        <v>2500</v>
      </c>
      <c r="M80" s="2">
        <v>10</v>
      </c>
      <c r="N80" s="2">
        <v>15750</v>
      </c>
      <c r="O80" s="2">
        <v>5232.8900000000003</v>
      </c>
      <c r="P80" s="2" t="s">
        <v>37</v>
      </c>
      <c r="Q80" s="2" t="s">
        <v>28</v>
      </c>
    </row>
    <row r="81" spans="1:17" x14ac:dyDescent="0.35">
      <c r="A81" s="3" t="s">
        <v>293</v>
      </c>
      <c r="B81" s="3" t="s">
        <v>294</v>
      </c>
      <c r="C81" s="3" t="s">
        <v>78</v>
      </c>
      <c r="D81" s="3" t="s">
        <v>20</v>
      </c>
      <c r="E81" s="3" t="s">
        <v>295</v>
      </c>
      <c r="F81" s="3" t="s">
        <v>56</v>
      </c>
      <c r="G81" s="3" t="s">
        <v>73</v>
      </c>
      <c r="H81" s="3" t="s">
        <v>105</v>
      </c>
      <c r="I81" s="3" t="s">
        <v>42</v>
      </c>
      <c r="J81" s="3" t="s">
        <v>184</v>
      </c>
      <c r="K81" s="3">
        <v>8</v>
      </c>
      <c r="L81" s="3">
        <v>120</v>
      </c>
      <c r="M81" s="3">
        <v>10</v>
      </c>
      <c r="N81" s="3">
        <v>864</v>
      </c>
      <c r="O81" s="3">
        <v>146.66999999999999</v>
      </c>
      <c r="P81" s="3" t="s">
        <v>37</v>
      </c>
      <c r="Q81" s="3" t="s">
        <v>82</v>
      </c>
    </row>
    <row r="82" spans="1:17" x14ac:dyDescent="0.35">
      <c r="A82" s="2" t="s">
        <v>296</v>
      </c>
      <c r="B82" s="2" t="s">
        <v>297</v>
      </c>
      <c r="C82" s="2" t="s">
        <v>19</v>
      </c>
      <c r="D82" s="2" t="s">
        <v>20</v>
      </c>
      <c r="E82" s="2" t="s">
        <v>298</v>
      </c>
      <c r="F82" s="2" t="s">
        <v>56</v>
      </c>
      <c r="G82" s="2" t="s">
        <v>66</v>
      </c>
      <c r="H82" s="2" t="s">
        <v>86</v>
      </c>
      <c r="I82" s="2" t="s">
        <v>35</v>
      </c>
      <c r="J82" s="2" t="s">
        <v>172</v>
      </c>
      <c r="K82" s="2">
        <v>1</v>
      </c>
      <c r="L82" s="2">
        <v>2499</v>
      </c>
      <c r="M82" s="2">
        <v>10</v>
      </c>
      <c r="N82" s="2">
        <v>2249.1</v>
      </c>
      <c r="O82" s="2">
        <v>632.16</v>
      </c>
      <c r="P82" s="2" t="s">
        <v>37</v>
      </c>
      <c r="Q82" s="2" t="s">
        <v>28</v>
      </c>
    </row>
    <row r="83" spans="1:17" x14ac:dyDescent="0.35">
      <c r="A83" s="3" t="s">
        <v>299</v>
      </c>
      <c r="B83" s="3" t="s">
        <v>300</v>
      </c>
      <c r="C83" s="3" t="s">
        <v>129</v>
      </c>
      <c r="D83" s="3" t="s">
        <v>20</v>
      </c>
      <c r="E83" s="3" t="s">
        <v>301</v>
      </c>
      <c r="F83" s="3" t="s">
        <v>33</v>
      </c>
      <c r="G83" s="3" t="s">
        <v>66</v>
      </c>
      <c r="H83" s="3" t="s">
        <v>86</v>
      </c>
      <c r="I83" s="3" t="s">
        <v>50</v>
      </c>
      <c r="J83" s="3" t="s">
        <v>75</v>
      </c>
      <c r="K83" s="3">
        <v>9</v>
      </c>
      <c r="L83" s="3">
        <v>45000</v>
      </c>
      <c r="M83" s="3">
        <v>20</v>
      </c>
      <c r="N83" s="3">
        <v>324000</v>
      </c>
      <c r="O83" s="3">
        <v>54962.9</v>
      </c>
      <c r="P83" s="3" t="s">
        <v>37</v>
      </c>
      <c r="Q83" s="3" t="s">
        <v>82</v>
      </c>
    </row>
    <row r="84" spans="1:17" x14ac:dyDescent="0.35">
      <c r="A84" s="2" t="s">
        <v>302</v>
      </c>
      <c r="B84" s="2" t="s">
        <v>133</v>
      </c>
      <c r="C84" s="2" t="s">
        <v>134</v>
      </c>
      <c r="D84" s="2" t="s">
        <v>20</v>
      </c>
      <c r="E84" s="2" t="s">
        <v>303</v>
      </c>
      <c r="F84" s="2" t="s">
        <v>22</v>
      </c>
      <c r="G84" s="2" t="s">
        <v>23</v>
      </c>
      <c r="H84" s="2" t="s">
        <v>34</v>
      </c>
      <c r="I84" s="2" t="s">
        <v>42</v>
      </c>
      <c r="J84" s="2" t="s">
        <v>149</v>
      </c>
      <c r="K84" s="2">
        <v>2</v>
      </c>
      <c r="L84" s="2">
        <v>180</v>
      </c>
      <c r="M84" s="2">
        <v>15</v>
      </c>
      <c r="N84" s="2">
        <v>306</v>
      </c>
      <c r="O84" s="2">
        <v>89.05</v>
      </c>
      <c r="P84" s="2" t="s">
        <v>37</v>
      </c>
      <c r="Q84" s="2" t="s">
        <v>28</v>
      </c>
    </row>
    <row r="85" spans="1:17" x14ac:dyDescent="0.35">
      <c r="A85" s="3" t="s">
        <v>304</v>
      </c>
      <c r="B85" s="3" t="s">
        <v>305</v>
      </c>
      <c r="C85" s="3" t="s">
        <v>256</v>
      </c>
      <c r="D85" s="3" t="s">
        <v>20</v>
      </c>
      <c r="E85" s="3" t="s">
        <v>267</v>
      </c>
      <c r="F85" s="3" t="s">
        <v>33</v>
      </c>
      <c r="G85" s="3" t="s">
        <v>23</v>
      </c>
      <c r="H85" s="3" t="s">
        <v>194</v>
      </c>
      <c r="I85" s="3" t="s">
        <v>80</v>
      </c>
      <c r="J85" s="3" t="s">
        <v>110</v>
      </c>
      <c r="K85" s="3">
        <v>6</v>
      </c>
      <c r="L85" s="3">
        <v>1200</v>
      </c>
      <c r="M85" s="3">
        <v>15</v>
      </c>
      <c r="N85" s="3">
        <v>6120</v>
      </c>
      <c r="O85" s="3">
        <v>1931.13</v>
      </c>
      <c r="P85" s="3" t="s">
        <v>27</v>
      </c>
      <c r="Q85" s="3" t="s">
        <v>28</v>
      </c>
    </row>
    <row r="86" spans="1:17" x14ac:dyDescent="0.35">
      <c r="A86" s="2" t="s">
        <v>306</v>
      </c>
      <c r="B86" s="2" t="s">
        <v>307</v>
      </c>
      <c r="C86" s="2" t="s">
        <v>19</v>
      </c>
      <c r="D86" s="2" t="s">
        <v>20</v>
      </c>
      <c r="E86" s="2" t="s">
        <v>278</v>
      </c>
      <c r="F86" s="2" t="s">
        <v>33</v>
      </c>
      <c r="G86" s="2" t="s">
        <v>48</v>
      </c>
      <c r="H86" s="2" t="s">
        <v>57</v>
      </c>
      <c r="I86" s="2" t="s">
        <v>50</v>
      </c>
      <c r="J86" s="2" t="s">
        <v>51</v>
      </c>
      <c r="K86" s="2">
        <v>2</v>
      </c>
      <c r="L86" s="2">
        <v>32000</v>
      </c>
      <c r="M86" s="2">
        <v>0</v>
      </c>
      <c r="N86" s="2">
        <v>64000</v>
      </c>
      <c r="O86" s="2">
        <v>12786.77</v>
      </c>
      <c r="P86" s="2" t="s">
        <v>37</v>
      </c>
      <c r="Q86" s="2" t="s">
        <v>28</v>
      </c>
    </row>
    <row r="87" spans="1:17" x14ac:dyDescent="0.35">
      <c r="A87" s="3" t="s">
        <v>308</v>
      </c>
      <c r="B87" s="3" t="s">
        <v>309</v>
      </c>
      <c r="C87" s="3" t="s">
        <v>46</v>
      </c>
      <c r="D87" s="3" t="s">
        <v>20</v>
      </c>
      <c r="E87" s="3" t="s">
        <v>310</v>
      </c>
      <c r="F87" s="3" t="s">
        <v>33</v>
      </c>
      <c r="G87" s="3" t="s">
        <v>23</v>
      </c>
      <c r="H87" s="3" t="s">
        <v>194</v>
      </c>
      <c r="I87" s="3" t="s">
        <v>25</v>
      </c>
      <c r="J87" s="3" t="s">
        <v>62</v>
      </c>
      <c r="K87" s="3">
        <v>7</v>
      </c>
      <c r="L87" s="3">
        <v>3200</v>
      </c>
      <c r="M87" s="3">
        <v>5</v>
      </c>
      <c r="N87" s="3">
        <v>21280</v>
      </c>
      <c r="O87" s="3">
        <v>3105.46</v>
      </c>
      <c r="P87" s="3" t="s">
        <v>27</v>
      </c>
      <c r="Q87" s="3" t="s">
        <v>28</v>
      </c>
    </row>
    <row r="88" spans="1:17" x14ac:dyDescent="0.35">
      <c r="A88" s="2" t="s">
        <v>311</v>
      </c>
      <c r="B88" s="2" t="s">
        <v>312</v>
      </c>
      <c r="C88" s="2" t="s">
        <v>134</v>
      </c>
      <c r="D88" s="2" t="s">
        <v>20</v>
      </c>
      <c r="E88" s="2" t="s">
        <v>145</v>
      </c>
      <c r="F88" s="2" t="s">
        <v>56</v>
      </c>
      <c r="G88" s="2" t="s">
        <v>73</v>
      </c>
      <c r="H88" s="2" t="s">
        <v>105</v>
      </c>
      <c r="I88" s="2" t="s">
        <v>42</v>
      </c>
      <c r="J88" s="2" t="s">
        <v>184</v>
      </c>
      <c r="K88" s="2">
        <v>3</v>
      </c>
      <c r="L88" s="2">
        <v>120</v>
      </c>
      <c r="M88" s="2">
        <v>5</v>
      </c>
      <c r="N88" s="2">
        <v>342</v>
      </c>
      <c r="O88" s="2">
        <v>69.94</v>
      </c>
      <c r="P88" s="2" t="s">
        <v>37</v>
      </c>
      <c r="Q88" s="2" t="s">
        <v>28</v>
      </c>
    </row>
    <row r="89" spans="1:17" x14ac:dyDescent="0.35">
      <c r="A89" s="3" t="s">
        <v>313</v>
      </c>
      <c r="B89" s="3" t="s">
        <v>314</v>
      </c>
      <c r="C89" s="3" t="s">
        <v>78</v>
      </c>
      <c r="D89" s="3" t="s">
        <v>20</v>
      </c>
      <c r="E89" s="3" t="s">
        <v>21</v>
      </c>
      <c r="F89" s="3" t="s">
        <v>22</v>
      </c>
      <c r="G89" s="3" t="s">
        <v>73</v>
      </c>
      <c r="H89" s="3" t="s">
        <v>74</v>
      </c>
      <c r="I89" s="3" t="s">
        <v>80</v>
      </c>
      <c r="J89" s="3" t="s">
        <v>119</v>
      </c>
      <c r="K89" s="3">
        <v>2</v>
      </c>
      <c r="L89" s="3">
        <v>800</v>
      </c>
      <c r="M89" s="3">
        <v>15</v>
      </c>
      <c r="N89" s="3">
        <v>1360</v>
      </c>
      <c r="O89" s="3">
        <v>455.89</v>
      </c>
      <c r="P89" s="3" t="s">
        <v>37</v>
      </c>
      <c r="Q89" s="3" t="s">
        <v>28</v>
      </c>
    </row>
    <row r="90" spans="1:17" x14ac:dyDescent="0.35">
      <c r="A90" s="2" t="s">
        <v>315</v>
      </c>
      <c r="B90" s="2" t="s">
        <v>316</v>
      </c>
      <c r="C90" s="2" t="s">
        <v>78</v>
      </c>
      <c r="D90" s="2" t="s">
        <v>20</v>
      </c>
      <c r="E90" s="2" t="s">
        <v>47</v>
      </c>
      <c r="F90" s="2" t="s">
        <v>22</v>
      </c>
      <c r="G90" s="2" t="s">
        <v>73</v>
      </c>
      <c r="H90" s="2" t="s">
        <v>74</v>
      </c>
      <c r="I90" s="2" t="s">
        <v>35</v>
      </c>
      <c r="J90" s="2" t="s">
        <v>172</v>
      </c>
      <c r="K90" s="2">
        <v>8</v>
      </c>
      <c r="L90" s="2">
        <v>2499</v>
      </c>
      <c r="M90" s="2">
        <v>0</v>
      </c>
      <c r="N90" s="2">
        <v>19992</v>
      </c>
      <c r="O90" s="2">
        <v>2879.76</v>
      </c>
      <c r="P90" s="2" t="s">
        <v>37</v>
      </c>
      <c r="Q90" s="2" t="s">
        <v>82</v>
      </c>
    </row>
    <row r="91" spans="1:17" x14ac:dyDescent="0.35">
      <c r="A91" s="3" t="s">
        <v>317</v>
      </c>
      <c r="B91" s="3" t="s">
        <v>318</v>
      </c>
      <c r="C91" s="3" t="s">
        <v>256</v>
      </c>
      <c r="D91" s="3" t="s">
        <v>20</v>
      </c>
      <c r="E91" s="3" t="s">
        <v>319</v>
      </c>
      <c r="F91" s="3" t="s">
        <v>56</v>
      </c>
      <c r="G91" s="3" t="s">
        <v>48</v>
      </c>
      <c r="H91" s="3" t="s">
        <v>169</v>
      </c>
      <c r="I91" s="3" t="s">
        <v>42</v>
      </c>
      <c r="J91" s="3" t="s">
        <v>43</v>
      </c>
      <c r="K91" s="3">
        <v>1</v>
      </c>
      <c r="L91" s="3">
        <v>220</v>
      </c>
      <c r="M91" s="3">
        <v>20</v>
      </c>
      <c r="N91" s="3">
        <v>176</v>
      </c>
      <c r="O91" s="3">
        <v>55.19</v>
      </c>
      <c r="P91" s="3" t="s">
        <v>37</v>
      </c>
      <c r="Q91" s="3" t="s">
        <v>28</v>
      </c>
    </row>
    <row r="92" spans="1:17" x14ac:dyDescent="0.35">
      <c r="A92" s="2" t="s">
        <v>320</v>
      </c>
      <c r="B92" s="2" t="s">
        <v>231</v>
      </c>
      <c r="C92" s="2" t="s">
        <v>31</v>
      </c>
      <c r="D92" s="2" t="s">
        <v>20</v>
      </c>
      <c r="E92" s="2" t="s">
        <v>193</v>
      </c>
      <c r="F92" s="2" t="s">
        <v>56</v>
      </c>
      <c r="G92" s="2" t="s">
        <v>48</v>
      </c>
      <c r="H92" s="2" t="s">
        <v>57</v>
      </c>
      <c r="I92" s="2" t="s">
        <v>35</v>
      </c>
      <c r="J92" s="2" t="s">
        <v>36</v>
      </c>
      <c r="K92" s="2">
        <v>5</v>
      </c>
      <c r="L92" s="2">
        <v>1999</v>
      </c>
      <c r="M92" s="2">
        <v>5</v>
      </c>
      <c r="N92" s="2">
        <v>9495.25</v>
      </c>
      <c r="O92" s="2">
        <v>2370.27</v>
      </c>
      <c r="P92" s="2" t="s">
        <v>27</v>
      </c>
      <c r="Q92" s="2" t="s">
        <v>28</v>
      </c>
    </row>
    <row r="93" spans="1:17" x14ac:dyDescent="0.35">
      <c r="A93" s="3" t="s">
        <v>321</v>
      </c>
      <c r="B93" s="3" t="s">
        <v>322</v>
      </c>
      <c r="C93" s="3" t="s">
        <v>161</v>
      </c>
      <c r="D93" s="3" t="s">
        <v>20</v>
      </c>
      <c r="E93" s="3" t="s">
        <v>92</v>
      </c>
      <c r="F93" s="3" t="s">
        <v>22</v>
      </c>
      <c r="G93" s="3" t="s">
        <v>48</v>
      </c>
      <c r="H93" s="3" t="s">
        <v>57</v>
      </c>
      <c r="I93" s="3" t="s">
        <v>50</v>
      </c>
      <c r="J93" s="3" t="s">
        <v>198</v>
      </c>
      <c r="K93" s="3">
        <v>6</v>
      </c>
      <c r="L93" s="3">
        <v>2500</v>
      </c>
      <c r="M93" s="3">
        <v>15</v>
      </c>
      <c r="N93" s="3">
        <v>12750</v>
      </c>
      <c r="O93" s="3">
        <v>1624.64</v>
      </c>
      <c r="P93" s="3" t="s">
        <v>37</v>
      </c>
      <c r="Q93" s="3" t="s">
        <v>82</v>
      </c>
    </row>
    <row r="94" spans="1:17" x14ac:dyDescent="0.35">
      <c r="A94" s="2" t="s">
        <v>323</v>
      </c>
      <c r="B94" s="2" t="s">
        <v>324</v>
      </c>
      <c r="C94" s="2" t="s">
        <v>129</v>
      </c>
      <c r="D94" s="2" t="s">
        <v>20</v>
      </c>
      <c r="E94" s="2" t="s">
        <v>325</v>
      </c>
      <c r="F94" s="2" t="s">
        <v>33</v>
      </c>
      <c r="G94" s="2" t="s">
        <v>66</v>
      </c>
      <c r="H94" s="2" t="s">
        <v>98</v>
      </c>
      <c r="I94" s="2" t="s">
        <v>42</v>
      </c>
      <c r="J94" s="2" t="s">
        <v>43</v>
      </c>
      <c r="K94" s="2">
        <v>6</v>
      </c>
      <c r="L94" s="2">
        <v>220</v>
      </c>
      <c r="M94" s="2">
        <v>0</v>
      </c>
      <c r="N94" s="2">
        <v>1320</v>
      </c>
      <c r="O94" s="2">
        <v>272.51</v>
      </c>
      <c r="P94" s="2" t="s">
        <v>27</v>
      </c>
      <c r="Q94" s="2" t="s">
        <v>28</v>
      </c>
    </row>
    <row r="95" spans="1:17" x14ac:dyDescent="0.35">
      <c r="A95" s="3" t="s">
        <v>326</v>
      </c>
      <c r="B95" s="3" t="s">
        <v>327</v>
      </c>
      <c r="C95" s="3" t="s">
        <v>117</v>
      </c>
      <c r="D95" s="3" t="s">
        <v>20</v>
      </c>
      <c r="E95" s="3" t="s">
        <v>168</v>
      </c>
      <c r="F95" s="3" t="s">
        <v>22</v>
      </c>
      <c r="G95" s="3" t="s">
        <v>73</v>
      </c>
      <c r="H95" s="3" t="s">
        <v>74</v>
      </c>
      <c r="I95" s="3" t="s">
        <v>50</v>
      </c>
      <c r="J95" s="3" t="s">
        <v>51</v>
      </c>
      <c r="K95" s="3">
        <v>1</v>
      </c>
      <c r="L95" s="3">
        <v>32000</v>
      </c>
      <c r="M95" s="3">
        <v>10</v>
      </c>
      <c r="N95" s="3">
        <v>28800</v>
      </c>
      <c r="O95" s="3">
        <v>6476.39</v>
      </c>
      <c r="P95" s="3" t="s">
        <v>37</v>
      </c>
      <c r="Q95" s="3" t="s">
        <v>28</v>
      </c>
    </row>
    <row r="96" spans="1:17" x14ac:dyDescent="0.35">
      <c r="A96" s="2" t="s">
        <v>328</v>
      </c>
      <c r="B96" s="2" t="s">
        <v>329</v>
      </c>
      <c r="C96" s="2" t="s">
        <v>78</v>
      </c>
      <c r="D96" s="2" t="s">
        <v>20</v>
      </c>
      <c r="E96" s="2" t="s">
        <v>79</v>
      </c>
      <c r="F96" s="2" t="s">
        <v>22</v>
      </c>
      <c r="G96" s="2" t="s">
        <v>73</v>
      </c>
      <c r="H96" s="2" t="s">
        <v>74</v>
      </c>
      <c r="I96" s="2" t="s">
        <v>50</v>
      </c>
      <c r="J96" s="2" t="s">
        <v>75</v>
      </c>
      <c r="K96" s="2">
        <v>8</v>
      </c>
      <c r="L96" s="2">
        <v>45000</v>
      </c>
      <c r="M96" s="2">
        <v>0</v>
      </c>
      <c r="N96" s="2">
        <v>360000</v>
      </c>
      <c r="O96" s="2">
        <v>89019.96</v>
      </c>
      <c r="P96" s="2" t="s">
        <v>37</v>
      </c>
      <c r="Q96" s="2" t="s">
        <v>28</v>
      </c>
    </row>
    <row r="97" spans="1:17" x14ac:dyDescent="0.35">
      <c r="A97" s="3" t="s">
        <v>330</v>
      </c>
      <c r="B97" s="3" t="s">
        <v>331</v>
      </c>
      <c r="C97" s="3" t="s">
        <v>40</v>
      </c>
      <c r="D97" s="3" t="s">
        <v>20</v>
      </c>
      <c r="E97" s="3" t="s">
        <v>118</v>
      </c>
      <c r="F97" s="3" t="s">
        <v>33</v>
      </c>
      <c r="G97" s="3" t="s">
        <v>73</v>
      </c>
      <c r="H97" s="3" t="s">
        <v>74</v>
      </c>
      <c r="I97" s="3" t="s">
        <v>42</v>
      </c>
      <c r="J97" s="3" t="s">
        <v>187</v>
      </c>
      <c r="K97" s="3">
        <v>3</v>
      </c>
      <c r="L97" s="3">
        <v>350</v>
      </c>
      <c r="M97" s="3">
        <v>0</v>
      </c>
      <c r="N97" s="3">
        <v>1050</v>
      </c>
      <c r="O97" s="3">
        <v>352.27</v>
      </c>
      <c r="P97" s="3" t="s">
        <v>37</v>
      </c>
      <c r="Q97" s="3" t="s">
        <v>28</v>
      </c>
    </row>
    <row r="98" spans="1:17" x14ac:dyDescent="0.35">
      <c r="A98" s="2" t="s">
        <v>332</v>
      </c>
      <c r="B98" s="2" t="s">
        <v>333</v>
      </c>
      <c r="C98" s="2" t="s">
        <v>161</v>
      </c>
      <c r="D98" s="2" t="s">
        <v>20</v>
      </c>
      <c r="E98" s="2" t="s">
        <v>118</v>
      </c>
      <c r="F98" s="2" t="s">
        <v>22</v>
      </c>
      <c r="G98" s="2" t="s">
        <v>66</v>
      </c>
      <c r="H98" s="2" t="s">
        <v>86</v>
      </c>
      <c r="I98" s="2" t="s">
        <v>42</v>
      </c>
      <c r="J98" s="2" t="s">
        <v>43</v>
      </c>
      <c r="K98" s="2">
        <v>9</v>
      </c>
      <c r="L98" s="2">
        <v>220</v>
      </c>
      <c r="M98" s="2">
        <v>15</v>
      </c>
      <c r="N98" s="2">
        <v>1683</v>
      </c>
      <c r="O98" s="2">
        <v>401.53</v>
      </c>
      <c r="P98" s="2" t="s">
        <v>37</v>
      </c>
      <c r="Q98" s="2" t="s">
        <v>28</v>
      </c>
    </row>
    <row r="99" spans="1:17" x14ac:dyDescent="0.35">
      <c r="A99" s="3" t="s">
        <v>334</v>
      </c>
      <c r="B99" s="3" t="s">
        <v>196</v>
      </c>
      <c r="C99" s="3" t="s">
        <v>54</v>
      </c>
      <c r="D99" s="3" t="s">
        <v>20</v>
      </c>
      <c r="E99" s="3" t="s">
        <v>335</v>
      </c>
      <c r="F99" s="3" t="s">
        <v>33</v>
      </c>
      <c r="G99" s="3" t="s">
        <v>73</v>
      </c>
      <c r="H99" s="3" t="s">
        <v>74</v>
      </c>
      <c r="I99" s="3" t="s">
        <v>50</v>
      </c>
      <c r="J99" s="3" t="s">
        <v>198</v>
      </c>
      <c r="K99" s="3">
        <v>4</v>
      </c>
      <c r="L99" s="3">
        <v>2500</v>
      </c>
      <c r="M99" s="3">
        <v>15</v>
      </c>
      <c r="N99" s="3">
        <v>8500</v>
      </c>
      <c r="O99" s="3">
        <v>1700.58</v>
      </c>
      <c r="P99" s="3" t="s">
        <v>37</v>
      </c>
      <c r="Q99" s="3" t="s">
        <v>28</v>
      </c>
    </row>
    <row r="100" spans="1:17" x14ac:dyDescent="0.35">
      <c r="A100" s="2" t="s">
        <v>336</v>
      </c>
      <c r="B100" s="2" t="s">
        <v>327</v>
      </c>
      <c r="C100" s="2" t="s">
        <v>117</v>
      </c>
      <c r="D100" s="2" t="s">
        <v>20</v>
      </c>
      <c r="E100" s="2" t="s">
        <v>337</v>
      </c>
      <c r="F100" s="2" t="s">
        <v>22</v>
      </c>
      <c r="G100" s="2" t="s">
        <v>48</v>
      </c>
      <c r="H100" s="2" t="s">
        <v>169</v>
      </c>
      <c r="I100" s="2" t="s">
        <v>42</v>
      </c>
      <c r="J100" s="2" t="s">
        <v>43</v>
      </c>
      <c r="K100" s="2">
        <v>4</v>
      </c>
      <c r="L100" s="2">
        <v>220</v>
      </c>
      <c r="M100" s="2">
        <v>0</v>
      </c>
      <c r="N100" s="2">
        <v>880</v>
      </c>
      <c r="O100" s="2">
        <v>295.88</v>
      </c>
      <c r="P100" s="2" t="s">
        <v>27</v>
      </c>
      <c r="Q100" s="2" t="s">
        <v>28</v>
      </c>
    </row>
    <row r="101" spans="1:17" x14ac:dyDescent="0.35">
      <c r="A101" s="3" t="s">
        <v>338</v>
      </c>
      <c r="B101" s="3" t="s">
        <v>339</v>
      </c>
      <c r="C101" s="3" t="s">
        <v>78</v>
      </c>
      <c r="D101" s="3" t="s">
        <v>20</v>
      </c>
      <c r="E101" s="3" t="s">
        <v>337</v>
      </c>
      <c r="F101" s="3" t="s">
        <v>22</v>
      </c>
      <c r="G101" s="3" t="s">
        <v>23</v>
      </c>
      <c r="H101" s="3" t="s">
        <v>24</v>
      </c>
      <c r="I101" s="3" t="s">
        <v>25</v>
      </c>
      <c r="J101" s="3" t="s">
        <v>26</v>
      </c>
      <c r="K101" s="3">
        <v>3</v>
      </c>
      <c r="L101" s="3">
        <v>5500</v>
      </c>
      <c r="M101" s="3">
        <v>20</v>
      </c>
      <c r="N101" s="3">
        <v>13200</v>
      </c>
      <c r="O101" s="3">
        <v>1787.35</v>
      </c>
      <c r="P101" s="3" t="s">
        <v>27</v>
      </c>
      <c r="Q101" s="3" t="s">
        <v>28</v>
      </c>
    </row>
    <row r="102" spans="1:17" x14ac:dyDescent="0.35">
      <c r="A102" s="2" t="s">
        <v>340</v>
      </c>
      <c r="B102" s="2" t="s">
        <v>341</v>
      </c>
      <c r="C102" s="2" t="s">
        <v>161</v>
      </c>
      <c r="D102" s="2" t="s">
        <v>20</v>
      </c>
      <c r="E102" s="2" t="s">
        <v>260</v>
      </c>
      <c r="F102" s="2" t="s">
        <v>22</v>
      </c>
      <c r="G102" s="2" t="s">
        <v>66</v>
      </c>
      <c r="H102" s="2" t="s">
        <v>98</v>
      </c>
      <c r="I102" s="2" t="s">
        <v>35</v>
      </c>
      <c r="J102" s="2" t="s">
        <v>36</v>
      </c>
      <c r="K102" s="2">
        <v>1</v>
      </c>
      <c r="L102" s="2">
        <v>1999</v>
      </c>
      <c r="M102" s="2">
        <v>10</v>
      </c>
      <c r="N102" s="2">
        <v>1799.1</v>
      </c>
      <c r="O102" s="2">
        <v>560.9</v>
      </c>
      <c r="P102" s="2" t="s">
        <v>27</v>
      </c>
      <c r="Q102" s="2" t="s">
        <v>28</v>
      </c>
    </row>
    <row r="103" spans="1:17" x14ac:dyDescent="0.35">
      <c r="A103" s="3" t="s">
        <v>342</v>
      </c>
      <c r="B103" s="3" t="s">
        <v>343</v>
      </c>
      <c r="C103" s="3" t="s">
        <v>256</v>
      </c>
      <c r="D103" s="3" t="s">
        <v>20</v>
      </c>
      <c r="E103" s="3" t="s">
        <v>284</v>
      </c>
      <c r="F103" s="3" t="s">
        <v>56</v>
      </c>
      <c r="G103" s="3" t="s">
        <v>23</v>
      </c>
      <c r="H103" s="3" t="s">
        <v>24</v>
      </c>
      <c r="I103" s="3" t="s">
        <v>35</v>
      </c>
      <c r="J103" s="3" t="s">
        <v>205</v>
      </c>
      <c r="K103" s="3">
        <v>6</v>
      </c>
      <c r="L103" s="3">
        <v>499</v>
      </c>
      <c r="M103" s="3">
        <v>5</v>
      </c>
      <c r="N103" s="3">
        <v>2844.3</v>
      </c>
      <c r="O103" s="3">
        <v>679.76</v>
      </c>
      <c r="P103" s="3" t="s">
        <v>27</v>
      </c>
      <c r="Q103" s="3" t="s">
        <v>28</v>
      </c>
    </row>
    <row r="104" spans="1:17" x14ac:dyDescent="0.35">
      <c r="A104" s="2" t="s">
        <v>344</v>
      </c>
      <c r="B104" s="2" t="s">
        <v>345</v>
      </c>
      <c r="C104" s="2" t="s">
        <v>129</v>
      </c>
      <c r="D104" s="2" t="s">
        <v>20</v>
      </c>
      <c r="E104" s="2" t="s">
        <v>79</v>
      </c>
      <c r="F104" s="2" t="s">
        <v>22</v>
      </c>
      <c r="G104" s="2" t="s">
        <v>73</v>
      </c>
      <c r="H104" s="2" t="s">
        <v>93</v>
      </c>
      <c r="I104" s="2" t="s">
        <v>50</v>
      </c>
      <c r="J104" s="2" t="s">
        <v>51</v>
      </c>
      <c r="K104" s="2">
        <v>8</v>
      </c>
      <c r="L104" s="2">
        <v>32000</v>
      </c>
      <c r="M104" s="2">
        <v>10</v>
      </c>
      <c r="N104" s="2">
        <v>230400</v>
      </c>
      <c r="O104" s="2">
        <v>50359.51</v>
      </c>
      <c r="P104" s="2" t="s">
        <v>37</v>
      </c>
      <c r="Q104" s="2" t="s">
        <v>82</v>
      </c>
    </row>
    <row r="105" spans="1:17" x14ac:dyDescent="0.35">
      <c r="A105" s="3" t="s">
        <v>346</v>
      </c>
      <c r="B105" s="3" t="s">
        <v>347</v>
      </c>
      <c r="C105" s="3" t="s">
        <v>117</v>
      </c>
      <c r="D105" s="3" t="s">
        <v>20</v>
      </c>
      <c r="E105" s="3" t="s">
        <v>348</v>
      </c>
      <c r="F105" s="3" t="s">
        <v>56</v>
      </c>
      <c r="G105" s="3" t="s">
        <v>23</v>
      </c>
      <c r="H105" s="3" t="s">
        <v>194</v>
      </c>
      <c r="I105" s="3" t="s">
        <v>42</v>
      </c>
      <c r="J105" s="3" t="s">
        <v>187</v>
      </c>
      <c r="K105" s="3">
        <v>1</v>
      </c>
      <c r="L105" s="3">
        <v>350</v>
      </c>
      <c r="M105" s="3">
        <v>15</v>
      </c>
      <c r="N105" s="3">
        <v>297.5</v>
      </c>
      <c r="O105" s="3">
        <v>91.86</v>
      </c>
      <c r="P105" s="3" t="s">
        <v>27</v>
      </c>
      <c r="Q105" s="3" t="s">
        <v>82</v>
      </c>
    </row>
    <row r="106" spans="1:17" x14ac:dyDescent="0.35">
      <c r="A106" s="2" t="s">
        <v>349</v>
      </c>
      <c r="B106" s="2" t="s">
        <v>350</v>
      </c>
      <c r="C106" s="2" t="s">
        <v>31</v>
      </c>
      <c r="D106" s="2" t="s">
        <v>20</v>
      </c>
      <c r="E106" s="2" t="s">
        <v>270</v>
      </c>
      <c r="F106" s="2" t="s">
        <v>56</v>
      </c>
      <c r="G106" s="2" t="s">
        <v>23</v>
      </c>
      <c r="H106" s="2" t="s">
        <v>24</v>
      </c>
      <c r="I106" s="2" t="s">
        <v>25</v>
      </c>
      <c r="J106" s="2" t="s">
        <v>94</v>
      </c>
      <c r="K106" s="2">
        <v>3</v>
      </c>
      <c r="L106" s="2">
        <v>18000</v>
      </c>
      <c r="M106" s="2">
        <v>0</v>
      </c>
      <c r="N106" s="2">
        <v>54000</v>
      </c>
      <c r="O106" s="2">
        <v>6159.87</v>
      </c>
      <c r="P106" s="2" t="s">
        <v>37</v>
      </c>
      <c r="Q106" s="2" t="s">
        <v>28</v>
      </c>
    </row>
    <row r="107" spans="1:17" x14ac:dyDescent="0.35">
      <c r="A107" s="3" t="s">
        <v>351</v>
      </c>
      <c r="B107" s="3" t="s">
        <v>352</v>
      </c>
      <c r="C107" s="3" t="s">
        <v>54</v>
      </c>
      <c r="D107" s="3" t="s">
        <v>20</v>
      </c>
      <c r="E107" s="3" t="s">
        <v>72</v>
      </c>
      <c r="F107" s="3" t="s">
        <v>56</v>
      </c>
      <c r="G107" s="3" t="s">
        <v>73</v>
      </c>
      <c r="H107" s="3" t="s">
        <v>211</v>
      </c>
      <c r="I107" s="3" t="s">
        <v>50</v>
      </c>
      <c r="J107" s="3" t="s">
        <v>58</v>
      </c>
      <c r="K107" s="3">
        <v>9</v>
      </c>
      <c r="L107" s="3">
        <v>18000</v>
      </c>
      <c r="M107" s="3">
        <v>5</v>
      </c>
      <c r="N107" s="3">
        <v>153900</v>
      </c>
      <c r="O107" s="3">
        <v>30182.7</v>
      </c>
      <c r="P107" s="3" t="s">
        <v>37</v>
      </c>
      <c r="Q107" s="3" t="s">
        <v>28</v>
      </c>
    </row>
    <row r="108" spans="1:17" x14ac:dyDescent="0.35">
      <c r="A108" s="2" t="s">
        <v>353</v>
      </c>
      <c r="B108" s="2" t="s">
        <v>262</v>
      </c>
      <c r="C108" s="2" t="s">
        <v>19</v>
      </c>
      <c r="D108" s="2" t="s">
        <v>20</v>
      </c>
      <c r="E108" s="2" t="s">
        <v>354</v>
      </c>
      <c r="F108" s="2" t="s">
        <v>33</v>
      </c>
      <c r="G108" s="2" t="s">
        <v>23</v>
      </c>
      <c r="H108" s="2" t="s">
        <v>194</v>
      </c>
      <c r="I108" s="2" t="s">
        <v>42</v>
      </c>
      <c r="J108" s="2" t="s">
        <v>43</v>
      </c>
      <c r="K108" s="2">
        <v>5</v>
      </c>
      <c r="L108" s="2">
        <v>220</v>
      </c>
      <c r="M108" s="2">
        <v>10</v>
      </c>
      <c r="N108" s="2">
        <v>990</v>
      </c>
      <c r="O108" s="2">
        <v>334.1</v>
      </c>
      <c r="P108" s="2" t="s">
        <v>37</v>
      </c>
      <c r="Q108" s="2" t="s">
        <v>28</v>
      </c>
    </row>
    <row r="109" spans="1:17" x14ac:dyDescent="0.35">
      <c r="A109" s="3" t="s">
        <v>355</v>
      </c>
      <c r="B109" s="3" t="s">
        <v>329</v>
      </c>
      <c r="C109" s="3" t="s">
        <v>78</v>
      </c>
      <c r="D109" s="3" t="s">
        <v>20</v>
      </c>
      <c r="E109" s="3" t="s">
        <v>141</v>
      </c>
      <c r="F109" s="3" t="s">
        <v>22</v>
      </c>
      <c r="G109" s="3" t="s">
        <v>23</v>
      </c>
      <c r="H109" s="3" t="s">
        <v>131</v>
      </c>
      <c r="I109" s="3" t="s">
        <v>50</v>
      </c>
      <c r="J109" s="3" t="s">
        <v>198</v>
      </c>
      <c r="K109" s="3">
        <v>3</v>
      </c>
      <c r="L109" s="3">
        <v>2500</v>
      </c>
      <c r="M109" s="3">
        <v>20</v>
      </c>
      <c r="N109" s="3">
        <v>6000</v>
      </c>
      <c r="O109" s="3">
        <v>577.16999999999996</v>
      </c>
      <c r="P109" s="3" t="s">
        <v>37</v>
      </c>
      <c r="Q109" s="3" t="s">
        <v>28</v>
      </c>
    </row>
    <row r="110" spans="1:17" x14ac:dyDescent="0.35">
      <c r="A110" s="2" t="s">
        <v>356</v>
      </c>
      <c r="B110" s="2" t="s">
        <v>291</v>
      </c>
      <c r="C110" s="2" t="s">
        <v>71</v>
      </c>
      <c r="D110" s="2" t="s">
        <v>20</v>
      </c>
      <c r="E110" s="2" t="s">
        <v>298</v>
      </c>
      <c r="F110" s="2" t="s">
        <v>33</v>
      </c>
      <c r="G110" s="2" t="s">
        <v>73</v>
      </c>
      <c r="H110" s="2" t="s">
        <v>93</v>
      </c>
      <c r="I110" s="2" t="s">
        <v>25</v>
      </c>
      <c r="J110" s="2" t="s">
        <v>94</v>
      </c>
      <c r="K110" s="2">
        <v>5</v>
      </c>
      <c r="L110" s="2">
        <v>18000</v>
      </c>
      <c r="M110" s="2">
        <v>10</v>
      </c>
      <c r="N110" s="2">
        <v>81000</v>
      </c>
      <c r="O110" s="2">
        <v>8745.74</v>
      </c>
      <c r="P110" s="2" t="s">
        <v>27</v>
      </c>
      <c r="Q110" s="2" t="s">
        <v>28</v>
      </c>
    </row>
    <row r="111" spans="1:17" x14ac:dyDescent="0.35">
      <c r="A111" s="3" t="s">
        <v>357</v>
      </c>
      <c r="B111" s="3" t="s">
        <v>358</v>
      </c>
      <c r="C111" s="3" t="s">
        <v>117</v>
      </c>
      <c r="D111" s="3" t="s">
        <v>20</v>
      </c>
      <c r="E111" s="3" t="s">
        <v>298</v>
      </c>
      <c r="F111" s="3" t="s">
        <v>22</v>
      </c>
      <c r="G111" s="3" t="s">
        <v>23</v>
      </c>
      <c r="H111" s="3" t="s">
        <v>194</v>
      </c>
      <c r="I111" s="3" t="s">
        <v>80</v>
      </c>
      <c r="J111" s="3" t="s">
        <v>240</v>
      </c>
      <c r="K111" s="3">
        <v>2</v>
      </c>
      <c r="L111" s="3">
        <v>600</v>
      </c>
      <c r="M111" s="3">
        <v>10</v>
      </c>
      <c r="N111" s="3">
        <v>1080</v>
      </c>
      <c r="O111" s="3">
        <v>253.81</v>
      </c>
      <c r="P111" s="3" t="s">
        <v>27</v>
      </c>
      <c r="Q111" s="3" t="s">
        <v>28</v>
      </c>
    </row>
    <row r="112" spans="1:17" x14ac:dyDescent="0.35">
      <c r="A112" s="2" t="s">
        <v>359</v>
      </c>
      <c r="B112" s="2" t="s">
        <v>360</v>
      </c>
      <c r="C112" s="2" t="s">
        <v>54</v>
      </c>
      <c r="D112" s="2" t="s">
        <v>20</v>
      </c>
      <c r="E112" s="2" t="s">
        <v>298</v>
      </c>
      <c r="F112" s="2" t="s">
        <v>22</v>
      </c>
      <c r="G112" s="2" t="s">
        <v>48</v>
      </c>
      <c r="H112" s="2" t="s">
        <v>169</v>
      </c>
      <c r="I112" s="2" t="s">
        <v>35</v>
      </c>
      <c r="J112" s="2" t="s">
        <v>138</v>
      </c>
      <c r="K112" s="2">
        <v>5</v>
      </c>
      <c r="L112" s="2">
        <v>799</v>
      </c>
      <c r="M112" s="2">
        <v>10</v>
      </c>
      <c r="N112" s="2">
        <v>3595.5</v>
      </c>
      <c r="O112" s="2">
        <v>628.41</v>
      </c>
      <c r="P112" s="2" t="s">
        <v>27</v>
      </c>
      <c r="Q112" s="2" t="s">
        <v>28</v>
      </c>
    </row>
    <row r="113" spans="1:17" x14ac:dyDescent="0.35">
      <c r="A113" s="3" t="s">
        <v>361</v>
      </c>
      <c r="B113" s="3" t="s">
        <v>259</v>
      </c>
      <c r="C113" s="3" t="s">
        <v>40</v>
      </c>
      <c r="D113" s="3" t="s">
        <v>20</v>
      </c>
      <c r="E113" s="3" t="s">
        <v>104</v>
      </c>
      <c r="F113" s="3" t="s">
        <v>56</v>
      </c>
      <c r="G113" s="3" t="s">
        <v>66</v>
      </c>
      <c r="H113" s="3" t="s">
        <v>114</v>
      </c>
      <c r="I113" s="3" t="s">
        <v>50</v>
      </c>
      <c r="J113" s="3" t="s">
        <v>142</v>
      </c>
      <c r="K113" s="3">
        <v>4</v>
      </c>
      <c r="L113" s="3">
        <v>15000</v>
      </c>
      <c r="M113" s="3">
        <v>15</v>
      </c>
      <c r="N113" s="3">
        <v>51000</v>
      </c>
      <c r="O113" s="3">
        <v>9861.09</v>
      </c>
      <c r="P113" s="3" t="s">
        <v>27</v>
      </c>
      <c r="Q113" s="3" t="s">
        <v>28</v>
      </c>
    </row>
    <row r="114" spans="1:17" x14ac:dyDescent="0.35">
      <c r="A114" s="2" t="s">
        <v>362</v>
      </c>
      <c r="B114" s="2" t="s">
        <v>363</v>
      </c>
      <c r="C114" s="2" t="s">
        <v>134</v>
      </c>
      <c r="D114" s="2" t="s">
        <v>20</v>
      </c>
      <c r="E114" s="2" t="s">
        <v>21</v>
      </c>
      <c r="F114" s="2" t="s">
        <v>22</v>
      </c>
      <c r="G114" s="2" t="s">
        <v>23</v>
      </c>
      <c r="H114" s="2" t="s">
        <v>24</v>
      </c>
      <c r="I114" s="2" t="s">
        <v>35</v>
      </c>
      <c r="J114" s="2" t="s">
        <v>126</v>
      </c>
      <c r="K114" s="2">
        <v>10</v>
      </c>
      <c r="L114" s="2">
        <v>1299</v>
      </c>
      <c r="M114" s="2">
        <v>0</v>
      </c>
      <c r="N114" s="2">
        <v>12990</v>
      </c>
      <c r="O114" s="2">
        <v>3403.01</v>
      </c>
      <c r="P114" s="2" t="s">
        <v>37</v>
      </c>
      <c r="Q114" s="2" t="s">
        <v>28</v>
      </c>
    </row>
    <row r="115" spans="1:17" x14ac:dyDescent="0.35">
      <c r="A115" s="3" t="s">
        <v>364</v>
      </c>
      <c r="B115" s="3" t="s">
        <v>365</v>
      </c>
      <c r="C115" s="3" t="s">
        <v>129</v>
      </c>
      <c r="D115" s="3" t="s">
        <v>20</v>
      </c>
      <c r="E115" s="3" t="s">
        <v>325</v>
      </c>
      <c r="F115" s="3" t="s">
        <v>22</v>
      </c>
      <c r="G115" s="3" t="s">
        <v>73</v>
      </c>
      <c r="H115" s="3" t="s">
        <v>211</v>
      </c>
      <c r="I115" s="3" t="s">
        <v>25</v>
      </c>
      <c r="J115" s="3" t="s">
        <v>26</v>
      </c>
      <c r="K115" s="3">
        <v>9</v>
      </c>
      <c r="L115" s="3">
        <v>5500</v>
      </c>
      <c r="M115" s="3">
        <v>0</v>
      </c>
      <c r="N115" s="3">
        <v>49500</v>
      </c>
      <c r="O115" s="3">
        <v>8573.24</v>
      </c>
      <c r="P115" s="3" t="s">
        <v>37</v>
      </c>
      <c r="Q115" s="3" t="s">
        <v>28</v>
      </c>
    </row>
    <row r="116" spans="1:17" x14ac:dyDescent="0.35">
      <c r="A116" s="2" t="s">
        <v>366</v>
      </c>
      <c r="B116" s="2" t="s">
        <v>367</v>
      </c>
      <c r="C116" s="2" t="s">
        <v>40</v>
      </c>
      <c r="D116" s="2" t="s">
        <v>20</v>
      </c>
      <c r="E116" s="2" t="s">
        <v>368</v>
      </c>
      <c r="F116" s="2" t="s">
        <v>33</v>
      </c>
      <c r="G116" s="2" t="s">
        <v>48</v>
      </c>
      <c r="H116" s="2" t="s">
        <v>169</v>
      </c>
      <c r="I116" s="2" t="s">
        <v>35</v>
      </c>
      <c r="J116" s="2" t="s">
        <v>172</v>
      </c>
      <c r="K116" s="2">
        <v>10</v>
      </c>
      <c r="L116" s="2">
        <v>2499</v>
      </c>
      <c r="M116" s="2">
        <v>0</v>
      </c>
      <c r="N116" s="2">
        <v>24990</v>
      </c>
      <c r="O116" s="2">
        <v>2051.0700000000002</v>
      </c>
      <c r="P116" s="2" t="s">
        <v>27</v>
      </c>
      <c r="Q116" s="2" t="s">
        <v>28</v>
      </c>
    </row>
    <row r="117" spans="1:17" x14ac:dyDescent="0.35">
      <c r="A117" s="3" t="s">
        <v>369</v>
      </c>
      <c r="B117" s="3" t="s">
        <v>370</v>
      </c>
      <c r="C117" s="3" t="s">
        <v>71</v>
      </c>
      <c r="D117" s="3" t="s">
        <v>20</v>
      </c>
      <c r="E117" s="3" t="s">
        <v>204</v>
      </c>
      <c r="F117" s="3" t="s">
        <v>22</v>
      </c>
      <c r="G117" s="3" t="s">
        <v>48</v>
      </c>
      <c r="H117" s="3" t="s">
        <v>169</v>
      </c>
      <c r="I117" s="3" t="s">
        <v>50</v>
      </c>
      <c r="J117" s="3" t="s">
        <v>51</v>
      </c>
      <c r="K117" s="3">
        <v>7</v>
      </c>
      <c r="L117" s="3">
        <v>32000</v>
      </c>
      <c r="M117" s="3">
        <v>5</v>
      </c>
      <c r="N117" s="3">
        <v>212800</v>
      </c>
      <c r="O117" s="3">
        <v>24446.49</v>
      </c>
      <c r="P117" s="3" t="s">
        <v>27</v>
      </c>
      <c r="Q117" s="3" t="s">
        <v>28</v>
      </c>
    </row>
    <row r="118" spans="1:17" x14ac:dyDescent="0.35">
      <c r="A118" s="2" t="s">
        <v>371</v>
      </c>
      <c r="B118" s="2" t="s">
        <v>372</v>
      </c>
      <c r="C118" s="2" t="s">
        <v>129</v>
      </c>
      <c r="D118" s="2" t="s">
        <v>20</v>
      </c>
      <c r="E118" s="2" t="s">
        <v>21</v>
      </c>
      <c r="F118" s="2" t="s">
        <v>22</v>
      </c>
      <c r="G118" s="2" t="s">
        <v>48</v>
      </c>
      <c r="H118" s="2" t="s">
        <v>169</v>
      </c>
      <c r="I118" s="2" t="s">
        <v>42</v>
      </c>
      <c r="J118" s="2" t="s">
        <v>187</v>
      </c>
      <c r="K118" s="2">
        <v>7</v>
      </c>
      <c r="L118" s="2">
        <v>350</v>
      </c>
      <c r="M118" s="2">
        <v>0</v>
      </c>
      <c r="N118" s="2">
        <v>2450</v>
      </c>
      <c r="O118" s="2">
        <v>500.13</v>
      </c>
      <c r="P118" s="2" t="s">
        <v>37</v>
      </c>
      <c r="Q118" s="2" t="s">
        <v>28</v>
      </c>
    </row>
    <row r="119" spans="1:17" x14ac:dyDescent="0.35">
      <c r="A119" s="3" t="s">
        <v>373</v>
      </c>
      <c r="B119" s="3" t="s">
        <v>264</v>
      </c>
      <c r="C119" s="3" t="s">
        <v>31</v>
      </c>
      <c r="D119" s="3" t="s">
        <v>20</v>
      </c>
      <c r="E119" s="3" t="s">
        <v>97</v>
      </c>
      <c r="F119" s="3" t="s">
        <v>22</v>
      </c>
      <c r="G119" s="3" t="s">
        <v>73</v>
      </c>
      <c r="H119" s="3" t="s">
        <v>74</v>
      </c>
      <c r="I119" s="3" t="s">
        <v>50</v>
      </c>
      <c r="J119" s="3" t="s">
        <v>51</v>
      </c>
      <c r="K119" s="3">
        <v>1</v>
      </c>
      <c r="L119" s="3">
        <v>32000</v>
      </c>
      <c r="M119" s="3">
        <v>10</v>
      </c>
      <c r="N119" s="3">
        <v>28800</v>
      </c>
      <c r="O119" s="3">
        <v>3640.49</v>
      </c>
      <c r="P119" s="3" t="s">
        <v>37</v>
      </c>
      <c r="Q119" s="3" t="s">
        <v>28</v>
      </c>
    </row>
    <row r="120" spans="1:17" x14ac:dyDescent="0.35">
      <c r="A120" s="2" t="s">
        <v>374</v>
      </c>
      <c r="B120" s="2" t="s">
        <v>375</v>
      </c>
      <c r="C120" s="2" t="s">
        <v>40</v>
      </c>
      <c r="D120" s="2" t="s">
        <v>20</v>
      </c>
      <c r="E120" s="2" t="s">
        <v>376</v>
      </c>
      <c r="F120" s="2" t="s">
        <v>33</v>
      </c>
      <c r="G120" s="2" t="s">
        <v>23</v>
      </c>
      <c r="H120" s="2" t="s">
        <v>34</v>
      </c>
      <c r="I120" s="2" t="s">
        <v>42</v>
      </c>
      <c r="J120" s="2" t="s">
        <v>184</v>
      </c>
      <c r="K120" s="2">
        <v>7</v>
      </c>
      <c r="L120" s="2">
        <v>120</v>
      </c>
      <c r="M120" s="2">
        <v>20</v>
      </c>
      <c r="N120" s="2">
        <v>672</v>
      </c>
      <c r="O120" s="2">
        <v>68.03</v>
      </c>
      <c r="P120" s="2" t="s">
        <v>37</v>
      </c>
      <c r="Q120" s="2" t="s">
        <v>28</v>
      </c>
    </row>
    <row r="121" spans="1:17" x14ac:dyDescent="0.35">
      <c r="A121" s="3" t="s">
        <v>377</v>
      </c>
      <c r="B121" s="3" t="s">
        <v>121</v>
      </c>
      <c r="C121" s="3" t="s">
        <v>31</v>
      </c>
      <c r="D121" s="3" t="s">
        <v>20</v>
      </c>
      <c r="E121" s="3" t="s">
        <v>229</v>
      </c>
      <c r="F121" s="3" t="s">
        <v>33</v>
      </c>
      <c r="G121" s="3" t="s">
        <v>23</v>
      </c>
      <c r="H121" s="3" t="s">
        <v>24</v>
      </c>
      <c r="I121" s="3" t="s">
        <v>80</v>
      </c>
      <c r="J121" s="3" t="s">
        <v>81</v>
      </c>
      <c r="K121" s="3">
        <v>4</v>
      </c>
      <c r="L121" s="3">
        <v>950</v>
      </c>
      <c r="M121" s="3">
        <v>10</v>
      </c>
      <c r="N121" s="3">
        <v>3420</v>
      </c>
      <c r="O121" s="3">
        <v>597.80999999999995</v>
      </c>
      <c r="P121" s="3" t="s">
        <v>27</v>
      </c>
      <c r="Q121" s="3" t="s">
        <v>28</v>
      </c>
    </row>
    <row r="122" spans="1:17" x14ac:dyDescent="0.35">
      <c r="A122" s="2" t="s">
        <v>378</v>
      </c>
      <c r="B122" s="2" t="s">
        <v>231</v>
      </c>
      <c r="C122" s="2" t="s">
        <v>31</v>
      </c>
      <c r="D122" s="2" t="s">
        <v>20</v>
      </c>
      <c r="E122" s="2" t="s">
        <v>379</v>
      </c>
      <c r="F122" s="2" t="s">
        <v>56</v>
      </c>
      <c r="G122" s="2" t="s">
        <v>66</v>
      </c>
      <c r="H122" s="2" t="s">
        <v>67</v>
      </c>
      <c r="I122" s="2" t="s">
        <v>80</v>
      </c>
      <c r="J122" s="2" t="s">
        <v>119</v>
      </c>
      <c r="K122" s="2">
        <v>2</v>
      </c>
      <c r="L122" s="2">
        <v>800</v>
      </c>
      <c r="M122" s="2">
        <v>5</v>
      </c>
      <c r="N122" s="2">
        <v>1520</v>
      </c>
      <c r="O122" s="2">
        <v>512.01</v>
      </c>
      <c r="P122" s="2" t="s">
        <v>37</v>
      </c>
      <c r="Q122" s="2" t="s">
        <v>28</v>
      </c>
    </row>
    <row r="123" spans="1:17" x14ac:dyDescent="0.35">
      <c r="A123" s="3" t="s">
        <v>380</v>
      </c>
      <c r="B123" s="3" t="s">
        <v>381</v>
      </c>
      <c r="C123" s="3" t="s">
        <v>31</v>
      </c>
      <c r="D123" s="3" t="s">
        <v>20</v>
      </c>
      <c r="E123" s="3" t="s">
        <v>221</v>
      </c>
      <c r="F123" s="3" t="s">
        <v>56</v>
      </c>
      <c r="G123" s="3" t="s">
        <v>73</v>
      </c>
      <c r="H123" s="3" t="s">
        <v>74</v>
      </c>
      <c r="I123" s="3" t="s">
        <v>25</v>
      </c>
      <c r="J123" s="3" t="s">
        <v>26</v>
      </c>
      <c r="K123" s="3">
        <v>8</v>
      </c>
      <c r="L123" s="3">
        <v>5500</v>
      </c>
      <c r="M123" s="3">
        <v>0</v>
      </c>
      <c r="N123" s="3">
        <v>44000</v>
      </c>
      <c r="O123" s="3">
        <v>9090.7800000000007</v>
      </c>
      <c r="P123" s="3" t="s">
        <v>37</v>
      </c>
      <c r="Q123" s="3" t="s">
        <v>28</v>
      </c>
    </row>
    <row r="124" spans="1:17" x14ac:dyDescent="0.35">
      <c r="A124" s="2" t="s">
        <v>382</v>
      </c>
      <c r="B124" s="2" t="s">
        <v>383</v>
      </c>
      <c r="C124" s="2" t="s">
        <v>134</v>
      </c>
      <c r="D124" s="2" t="s">
        <v>20</v>
      </c>
      <c r="E124" s="2" t="s">
        <v>354</v>
      </c>
      <c r="F124" s="2" t="s">
        <v>22</v>
      </c>
      <c r="G124" s="2" t="s">
        <v>23</v>
      </c>
      <c r="H124" s="2" t="s">
        <v>194</v>
      </c>
      <c r="I124" s="2" t="s">
        <v>42</v>
      </c>
      <c r="J124" s="2" t="s">
        <v>68</v>
      </c>
      <c r="K124" s="2">
        <v>1</v>
      </c>
      <c r="L124" s="2">
        <v>150</v>
      </c>
      <c r="M124" s="2">
        <v>0</v>
      </c>
      <c r="N124" s="2">
        <v>150</v>
      </c>
      <c r="O124" s="2">
        <v>26.93</v>
      </c>
      <c r="P124" s="2" t="s">
        <v>27</v>
      </c>
      <c r="Q124" s="2" t="s">
        <v>28</v>
      </c>
    </row>
    <row r="125" spans="1:17" x14ac:dyDescent="0.35">
      <c r="A125" s="3" t="s">
        <v>384</v>
      </c>
      <c r="B125" s="3" t="s">
        <v>316</v>
      </c>
      <c r="C125" s="3" t="s">
        <v>78</v>
      </c>
      <c r="D125" s="3" t="s">
        <v>20</v>
      </c>
      <c r="E125" s="3" t="s">
        <v>385</v>
      </c>
      <c r="F125" s="3" t="s">
        <v>56</v>
      </c>
      <c r="G125" s="3" t="s">
        <v>73</v>
      </c>
      <c r="H125" s="3" t="s">
        <v>211</v>
      </c>
      <c r="I125" s="3" t="s">
        <v>80</v>
      </c>
      <c r="J125" s="3" t="s">
        <v>81</v>
      </c>
      <c r="K125" s="3">
        <v>1</v>
      </c>
      <c r="L125" s="3">
        <v>950</v>
      </c>
      <c r="M125" s="3">
        <v>15</v>
      </c>
      <c r="N125" s="3">
        <v>807.5</v>
      </c>
      <c r="O125" s="3">
        <v>262.8</v>
      </c>
      <c r="P125" s="3" t="s">
        <v>27</v>
      </c>
      <c r="Q125" s="3" t="s">
        <v>28</v>
      </c>
    </row>
    <row r="126" spans="1:17" x14ac:dyDescent="0.35">
      <c r="A126" s="2" t="s">
        <v>386</v>
      </c>
      <c r="B126" s="2" t="s">
        <v>387</v>
      </c>
      <c r="C126" s="2" t="s">
        <v>161</v>
      </c>
      <c r="D126" s="2" t="s">
        <v>20</v>
      </c>
      <c r="E126" s="2" t="s">
        <v>388</v>
      </c>
      <c r="F126" s="2" t="s">
        <v>33</v>
      </c>
      <c r="G126" s="2" t="s">
        <v>66</v>
      </c>
      <c r="H126" s="2" t="s">
        <v>114</v>
      </c>
      <c r="I126" s="2" t="s">
        <v>42</v>
      </c>
      <c r="J126" s="2" t="s">
        <v>187</v>
      </c>
      <c r="K126" s="2">
        <v>6</v>
      </c>
      <c r="L126" s="2">
        <v>350</v>
      </c>
      <c r="M126" s="2">
        <v>0</v>
      </c>
      <c r="N126" s="2">
        <v>2100</v>
      </c>
      <c r="O126" s="2">
        <v>454.08</v>
      </c>
      <c r="P126" s="2" t="s">
        <v>27</v>
      </c>
      <c r="Q126" s="2" t="s">
        <v>28</v>
      </c>
    </row>
    <row r="127" spans="1:17" x14ac:dyDescent="0.35">
      <c r="A127" s="3" t="s">
        <v>389</v>
      </c>
      <c r="B127" s="3" t="s">
        <v>107</v>
      </c>
      <c r="C127" s="3" t="s">
        <v>40</v>
      </c>
      <c r="D127" s="3" t="s">
        <v>20</v>
      </c>
      <c r="E127" s="3" t="s">
        <v>390</v>
      </c>
      <c r="F127" s="3" t="s">
        <v>22</v>
      </c>
      <c r="G127" s="3" t="s">
        <v>73</v>
      </c>
      <c r="H127" s="3" t="s">
        <v>105</v>
      </c>
      <c r="I127" s="3" t="s">
        <v>25</v>
      </c>
      <c r="J127" s="3" t="s">
        <v>62</v>
      </c>
      <c r="K127" s="3">
        <v>5</v>
      </c>
      <c r="L127" s="3">
        <v>3200</v>
      </c>
      <c r="M127" s="3">
        <v>15</v>
      </c>
      <c r="N127" s="3">
        <v>13600</v>
      </c>
      <c r="O127" s="3">
        <v>2589</v>
      </c>
      <c r="P127" s="3" t="s">
        <v>27</v>
      </c>
      <c r="Q127" s="3" t="s">
        <v>28</v>
      </c>
    </row>
    <row r="128" spans="1:17" x14ac:dyDescent="0.35">
      <c r="A128" s="2" t="s">
        <v>391</v>
      </c>
      <c r="B128" s="2" t="s">
        <v>392</v>
      </c>
      <c r="C128" s="2" t="s">
        <v>19</v>
      </c>
      <c r="D128" s="2" t="s">
        <v>20</v>
      </c>
      <c r="E128" s="2" t="s">
        <v>393</v>
      </c>
      <c r="F128" s="2" t="s">
        <v>56</v>
      </c>
      <c r="G128" s="2" t="s">
        <v>48</v>
      </c>
      <c r="H128" s="2" t="s">
        <v>169</v>
      </c>
      <c r="I128" s="2" t="s">
        <v>80</v>
      </c>
      <c r="J128" s="2" t="s">
        <v>110</v>
      </c>
      <c r="K128" s="2">
        <v>5</v>
      </c>
      <c r="L128" s="2">
        <v>1200</v>
      </c>
      <c r="M128" s="2">
        <v>10</v>
      </c>
      <c r="N128" s="2">
        <v>5400</v>
      </c>
      <c r="O128" s="2">
        <v>1487.2</v>
      </c>
      <c r="P128" s="2" t="s">
        <v>27</v>
      </c>
      <c r="Q128" s="2" t="s">
        <v>28</v>
      </c>
    </row>
    <row r="129" spans="1:17" x14ac:dyDescent="0.35">
      <c r="A129" s="3" t="s">
        <v>394</v>
      </c>
      <c r="B129" s="3" t="s">
        <v>395</v>
      </c>
      <c r="C129" s="3" t="s">
        <v>129</v>
      </c>
      <c r="D129" s="3" t="s">
        <v>20</v>
      </c>
      <c r="E129" s="3" t="s">
        <v>41</v>
      </c>
      <c r="F129" s="3" t="s">
        <v>22</v>
      </c>
      <c r="G129" s="3" t="s">
        <v>66</v>
      </c>
      <c r="H129" s="3" t="s">
        <v>98</v>
      </c>
      <c r="I129" s="3" t="s">
        <v>25</v>
      </c>
      <c r="J129" s="3" t="s">
        <v>237</v>
      </c>
      <c r="K129" s="3">
        <v>3</v>
      </c>
      <c r="L129" s="3">
        <v>22000</v>
      </c>
      <c r="M129" s="3">
        <v>20</v>
      </c>
      <c r="N129" s="3">
        <v>52800</v>
      </c>
      <c r="O129" s="3">
        <v>14329.14</v>
      </c>
      <c r="P129" s="3" t="s">
        <v>37</v>
      </c>
      <c r="Q129" s="3" t="s">
        <v>28</v>
      </c>
    </row>
    <row r="130" spans="1:17" x14ac:dyDescent="0.35">
      <c r="A130" s="2" t="s">
        <v>396</v>
      </c>
      <c r="B130" s="2" t="s">
        <v>397</v>
      </c>
      <c r="C130" s="2" t="s">
        <v>46</v>
      </c>
      <c r="D130" s="2" t="s">
        <v>20</v>
      </c>
      <c r="E130" s="2" t="s">
        <v>337</v>
      </c>
      <c r="F130" s="2" t="s">
        <v>33</v>
      </c>
      <c r="G130" s="2" t="s">
        <v>48</v>
      </c>
      <c r="H130" s="2" t="s">
        <v>57</v>
      </c>
      <c r="I130" s="2" t="s">
        <v>80</v>
      </c>
      <c r="J130" s="2" t="s">
        <v>89</v>
      </c>
      <c r="K130" s="2">
        <v>7</v>
      </c>
      <c r="L130" s="2">
        <v>1500</v>
      </c>
      <c r="M130" s="2">
        <v>20</v>
      </c>
      <c r="N130" s="2">
        <v>8400</v>
      </c>
      <c r="O130" s="2">
        <v>1492.63</v>
      </c>
      <c r="P130" s="2" t="s">
        <v>37</v>
      </c>
      <c r="Q130" s="2" t="s">
        <v>28</v>
      </c>
    </row>
    <row r="131" spans="1:17" x14ac:dyDescent="0.35">
      <c r="A131" s="3" t="s">
        <v>398</v>
      </c>
      <c r="B131" s="3" t="s">
        <v>300</v>
      </c>
      <c r="C131" s="3" t="s">
        <v>129</v>
      </c>
      <c r="D131" s="3" t="s">
        <v>20</v>
      </c>
      <c r="E131" s="3" t="s">
        <v>399</v>
      </c>
      <c r="F131" s="3" t="s">
        <v>22</v>
      </c>
      <c r="G131" s="3" t="s">
        <v>73</v>
      </c>
      <c r="H131" s="3" t="s">
        <v>105</v>
      </c>
      <c r="I131" s="3" t="s">
        <v>35</v>
      </c>
      <c r="J131" s="3" t="s">
        <v>126</v>
      </c>
      <c r="K131" s="3">
        <v>3</v>
      </c>
      <c r="L131" s="3">
        <v>1299</v>
      </c>
      <c r="M131" s="3">
        <v>0</v>
      </c>
      <c r="N131" s="3">
        <v>3897</v>
      </c>
      <c r="O131" s="3">
        <v>622.99</v>
      </c>
      <c r="P131" s="3" t="s">
        <v>27</v>
      </c>
      <c r="Q131" s="3" t="s">
        <v>82</v>
      </c>
    </row>
    <row r="132" spans="1:17" x14ac:dyDescent="0.35">
      <c r="A132" s="2" t="s">
        <v>400</v>
      </c>
      <c r="B132" s="2" t="s">
        <v>401</v>
      </c>
      <c r="C132" s="2" t="s">
        <v>161</v>
      </c>
      <c r="D132" s="2" t="s">
        <v>20</v>
      </c>
      <c r="E132" s="2" t="s">
        <v>130</v>
      </c>
      <c r="F132" s="2" t="s">
        <v>33</v>
      </c>
      <c r="G132" s="2" t="s">
        <v>66</v>
      </c>
      <c r="H132" s="2" t="s">
        <v>86</v>
      </c>
      <c r="I132" s="2" t="s">
        <v>35</v>
      </c>
      <c r="J132" s="2" t="s">
        <v>126</v>
      </c>
      <c r="K132" s="2">
        <v>3</v>
      </c>
      <c r="L132" s="2">
        <v>1299</v>
      </c>
      <c r="M132" s="2">
        <v>20</v>
      </c>
      <c r="N132" s="2">
        <v>3117.6</v>
      </c>
      <c r="O132" s="2">
        <v>930.42</v>
      </c>
      <c r="P132" s="2" t="s">
        <v>37</v>
      </c>
      <c r="Q132" s="2" t="s">
        <v>28</v>
      </c>
    </row>
    <row r="133" spans="1:17" x14ac:dyDescent="0.35">
      <c r="A133" s="3" t="s">
        <v>402</v>
      </c>
      <c r="B133" s="3" t="s">
        <v>375</v>
      </c>
      <c r="C133" s="3" t="s">
        <v>40</v>
      </c>
      <c r="D133" s="3" t="s">
        <v>20</v>
      </c>
      <c r="E133" s="3" t="s">
        <v>152</v>
      </c>
      <c r="F133" s="3" t="s">
        <v>33</v>
      </c>
      <c r="G133" s="3" t="s">
        <v>66</v>
      </c>
      <c r="H133" s="3" t="s">
        <v>86</v>
      </c>
      <c r="I133" s="3" t="s">
        <v>80</v>
      </c>
      <c r="J133" s="3" t="s">
        <v>240</v>
      </c>
      <c r="K133" s="3">
        <v>8</v>
      </c>
      <c r="L133" s="3">
        <v>600</v>
      </c>
      <c r="M133" s="3">
        <v>5</v>
      </c>
      <c r="N133" s="3">
        <v>4560</v>
      </c>
      <c r="O133" s="3">
        <v>1022.27</v>
      </c>
      <c r="P133" s="3" t="s">
        <v>37</v>
      </c>
      <c r="Q133" s="3" t="s">
        <v>28</v>
      </c>
    </row>
    <row r="134" spans="1:17" x14ac:dyDescent="0.35">
      <c r="A134" s="2" t="s">
        <v>403</v>
      </c>
      <c r="B134" s="2" t="s">
        <v>404</v>
      </c>
      <c r="C134" s="2" t="s">
        <v>161</v>
      </c>
      <c r="D134" s="2" t="s">
        <v>20</v>
      </c>
      <c r="E134" s="2" t="s">
        <v>405</v>
      </c>
      <c r="F134" s="2" t="s">
        <v>22</v>
      </c>
      <c r="G134" s="2" t="s">
        <v>73</v>
      </c>
      <c r="H134" s="2" t="s">
        <v>211</v>
      </c>
      <c r="I134" s="2" t="s">
        <v>25</v>
      </c>
      <c r="J134" s="2" t="s">
        <v>237</v>
      </c>
      <c r="K134" s="2">
        <v>9</v>
      </c>
      <c r="L134" s="2">
        <v>22000</v>
      </c>
      <c r="M134" s="2">
        <v>20</v>
      </c>
      <c r="N134" s="2">
        <v>158400</v>
      </c>
      <c r="O134" s="2">
        <v>30577.29</v>
      </c>
      <c r="P134" s="2" t="s">
        <v>27</v>
      </c>
      <c r="Q134" s="2" t="s">
        <v>82</v>
      </c>
    </row>
    <row r="135" spans="1:17" x14ac:dyDescent="0.35">
      <c r="A135" s="3" t="s">
        <v>406</v>
      </c>
      <c r="B135" s="3" t="s">
        <v>407</v>
      </c>
      <c r="C135" s="3" t="s">
        <v>134</v>
      </c>
      <c r="D135" s="3" t="s">
        <v>20</v>
      </c>
      <c r="E135" s="3" t="s">
        <v>408</v>
      </c>
      <c r="F135" s="3" t="s">
        <v>33</v>
      </c>
      <c r="G135" s="3" t="s">
        <v>23</v>
      </c>
      <c r="H135" s="3" t="s">
        <v>131</v>
      </c>
      <c r="I135" s="3" t="s">
        <v>25</v>
      </c>
      <c r="J135" s="3" t="s">
        <v>94</v>
      </c>
      <c r="K135" s="3">
        <v>2</v>
      </c>
      <c r="L135" s="3">
        <v>18000</v>
      </c>
      <c r="M135" s="3">
        <v>20</v>
      </c>
      <c r="N135" s="3">
        <v>28800</v>
      </c>
      <c r="O135" s="3">
        <v>8922.67</v>
      </c>
      <c r="P135" s="3" t="s">
        <v>27</v>
      </c>
      <c r="Q135" s="3" t="s">
        <v>28</v>
      </c>
    </row>
    <row r="136" spans="1:17" x14ac:dyDescent="0.35">
      <c r="A136" s="2" t="s">
        <v>409</v>
      </c>
      <c r="B136" s="2" t="s">
        <v>410</v>
      </c>
      <c r="C136" s="2" t="s">
        <v>46</v>
      </c>
      <c r="D136" s="2" t="s">
        <v>20</v>
      </c>
      <c r="E136" s="2" t="s">
        <v>92</v>
      </c>
      <c r="F136" s="2" t="s">
        <v>56</v>
      </c>
      <c r="G136" s="2" t="s">
        <v>66</v>
      </c>
      <c r="H136" s="2" t="s">
        <v>86</v>
      </c>
      <c r="I136" s="2" t="s">
        <v>50</v>
      </c>
      <c r="J136" s="2" t="s">
        <v>75</v>
      </c>
      <c r="K136" s="2">
        <v>8</v>
      </c>
      <c r="L136" s="2">
        <v>45000</v>
      </c>
      <c r="M136" s="2">
        <v>10</v>
      </c>
      <c r="N136" s="2">
        <v>324000</v>
      </c>
      <c r="O136" s="2">
        <v>107317.68</v>
      </c>
      <c r="P136" s="2" t="s">
        <v>27</v>
      </c>
      <c r="Q136" s="2" t="s">
        <v>28</v>
      </c>
    </row>
    <row r="137" spans="1:17" x14ac:dyDescent="0.35">
      <c r="A137" s="3" t="s">
        <v>411</v>
      </c>
      <c r="B137" s="3" t="s">
        <v>30</v>
      </c>
      <c r="C137" s="3" t="s">
        <v>31</v>
      </c>
      <c r="D137" s="3" t="s">
        <v>20</v>
      </c>
      <c r="E137" s="3" t="s">
        <v>405</v>
      </c>
      <c r="F137" s="3" t="s">
        <v>33</v>
      </c>
      <c r="G137" s="3" t="s">
        <v>73</v>
      </c>
      <c r="H137" s="3" t="s">
        <v>93</v>
      </c>
      <c r="I137" s="3" t="s">
        <v>25</v>
      </c>
      <c r="J137" s="3" t="s">
        <v>26</v>
      </c>
      <c r="K137" s="3">
        <v>1</v>
      </c>
      <c r="L137" s="3">
        <v>5500</v>
      </c>
      <c r="M137" s="3">
        <v>10</v>
      </c>
      <c r="N137" s="3">
        <v>4950</v>
      </c>
      <c r="O137" s="3">
        <v>1640.05</v>
      </c>
      <c r="P137" s="3" t="s">
        <v>37</v>
      </c>
      <c r="Q137" s="3" t="s">
        <v>28</v>
      </c>
    </row>
    <row r="138" spans="1:17" x14ac:dyDescent="0.35">
      <c r="A138" s="2" t="s">
        <v>412</v>
      </c>
      <c r="B138" s="2" t="s">
        <v>413</v>
      </c>
      <c r="C138" s="2" t="s">
        <v>256</v>
      </c>
      <c r="D138" s="2" t="s">
        <v>20</v>
      </c>
      <c r="E138" s="2" t="s">
        <v>214</v>
      </c>
      <c r="F138" s="2" t="s">
        <v>33</v>
      </c>
      <c r="G138" s="2" t="s">
        <v>73</v>
      </c>
      <c r="H138" s="2" t="s">
        <v>105</v>
      </c>
      <c r="I138" s="2" t="s">
        <v>42</v>
      </c>
      <c r="J138" s="2" t="s">
        <v>68</v>
      </c>
      <c r="K138" s="2">
        <v>10</v>
      </c>
      <c r="L138" s="2">
        <v>150</v>
      </c>
      <c r="M138" s="2">
        <v>0</v>
      </c>
      <c r="N138" s="2">
        <v>1500</v>
      </c>
      <c r="O138" s="2">
        <v>486.87</v>
      </c>
      <c r="P138" s="2" t="s">
        <v>37</v>
      </c>
      <c r="Q138" s="2" t="s">
        <v>28</v>
      </c>
    </row>
    <row r="139" spans="1:17" x14ac:dyDescent="0.35">
      <c r="A139" s="3" t="s">
        <v>414</v>
      </c>
      <c r="B139" s="3" t="s">
        <v>218</v>
      </c>
      <c r="C139" s="3" t="s">
        <v>117</v>
      </c>
      <c r="D139" s="3" t="s">
        <v>20</v>
      </c>
      <c r="E139" s="3" t="s">
        <v>226</v>
      </c>
      <c r="F139" s="3" t="s">
        <v>33</v>
      </c>
      <c r="G139" s="3" t="s">
        <v>73</v>
      </c>
      <c r="H139" s="3" t="s">
        <v>93</v>
      </c>
      <c r="I139" s="3" t="s">
        <v>25</v>
      </c>
      <c r="J139" s="3" t="s">
        <v>26</v>
      </c>
      <c r="K139" s="3">
        <v>5</v>
      </c>
      <c r="L139" s="3">
        <v>5500</v>
      </c>
      <c r="M139" s="3">
        <v>0</v>
      </c>
      <c r="N139" s="3">
        <v>27500</v>
      </c>
      <c r="O139" s="3">
        <v>2554.54</v>
      </c>
      <c r="P139" s="3" t="s">
        <v>37</v>
      </c>
      <c r="Q139" s="3" t="s">
        <v>28</v>
      </c>
    </row>
    <row r="140" spans="1:17" x14ac:dyDescent="0.35">
      <c r="A140" s="2" t="s">
        <v>415</v>
      </c>
      <c r="B140" s="2" t="s">
        <v>283</v>
      </c>
      <c r="C140" s="2" t="s">
        <v>256</v>
      </c>
      <c r="D140" s="2" t="s">
        <v>20</v>
      </c>
      <c r="E140" s="2" t="s">
        <v>416</v>
      </c>
      <c r="F140" s="2" t="s">
        <v>33</v>
      </c>
      <c r="G140" s="2" t="s">
        <v>73</v>
      </c>
      <c r="H140" s="2" t="s">
        <v>93</v>
      </c>
      <c r="I140" s="2" t="s">
        <v>80</v>
      </c>
      <c r="J140" s="2" t="s">
        <v>81</v>
      </c>
      <c r="K140" s="2">
        <v>4</v>
      </c>
      <c r="L140" s="2">
        <v>950</v>
      </c>
      <c r="M140" s="2">
        <v>5</v>
      </c>
      <c r="N140" s="2">
        <v>3610</v>
      </c>
      <c r="O140" s="2">
        <v>572.70000000000005</v>
      </c>
      <c r="P140" s="2" t="s">
        <v>37</v>
      </c>
      <c r="Q140" s="2" t="s">
        <v>28</v>
      </c>
    </row>
    <row r="141" spans="1:17" x14ac:dyDescent="0.35">
      <c r="A141" s="3" t="s">
        <v>417</v>
      </c>
      <c r="B141" s="3" t="s">
        <v>291</v>
      </c>
      <c r="C141" s="3" t="s">
        <v>71</v>
      </c>
      <c r="D141" s="3" t="s">
        <v>20</v>
      </c>
      <c r="E141" s="3" t="s">
        <v>244</v>
      </c>
      <c r="F141" s="3" t="s">
        <v>56</v>
      </c>
      <c r="G141" s="3" t="s">
        <v>23</v>
      </c>
      <c r="H141" s="3" t="s">
        <v>194</v>
      </c>
      <c r="I141" s="3" t="s">
        <v>50</v>
      </c>
      <c r="J141" s="3" t="s">
        <v>142</v>
      </c>
      <c r="K141" s="3">
        <v>9</v>
      </c>
      <c r="L141" s="3">
        <v>15000</v>
      </c>
      <c r="M141" s="3">
        <v>20</v>
      </c>
      <c r="N141" s="3">
        <v>108000</v>
      </c>
      <c r="O141" s="3">
        <v>31571.78</v>
      </c>
      <c r="P141" s="3" t="s">
        <v>27</v>
      </c>
      <c r="Q141" s="3" t="s">
        <v>28</v>
      </c>
    </row>
    <row r="142" spans="1:17" x14ac:dyDescent="0.35">
      <c r="A142" s="2" t="s">
        <v>418</v>
      </c>
      <c r="B142" s="2" t="s">
        <v>392</v>
      </c>
      <c r="C142" s="2" t="s">
        <v>19</v>
      </c>
      <c r="D142" s="2" t="s">
        <v>20</v>
      </c>
      <c r="E142" s="2" t="s">
        <v>162</v>
      </c>
      <c r="F142" s="2" t="s">
        <v>22</v>
      </c>
      <c r="G142" s="2" t="s">
        <v>73</v>
      </c>
      <c r="H142" s="2" t="s">
        <v>74</v>
      </c>
      <c r="I142" s="2" t="s">
        <v>25</v>
      </c>
      <c r="J142" s="2" t="s">
        <v>257</v>
      </c>
      <c r="K142" s="2">
        <v>6</v>
      </c>
      <c r="L142" s="2">
        <v>8500</v>
      </c>
      <c r="M142" s="2">
        <v>0</v>
      </c>
      <c r="N142" s="2">
        <v>51000</v>
      </c>
      <c r="O142" s="2">
        <v>8827.93</v>
      </c>
      <c r="P142" s="2" t="s">
        <v>27</v>
      </c>
      <c r="Q142" s="2" t="s">
        <v>28</v>
      </c>
    </row>
    <row r="143" spans="1:17" x14ac:dyDescent="0.35">
      <c r="A143" s="3" t="s">
        <v>419</v>
      </c>
      <c r="B143" s="3" t="s">
        <v>420</v>
      </c>
      <c r="C143" s="3" t="s">
        <v>19</v>
      </c>
      <c r="D143" s="3" t="s">
        <v>20</v>
      </c>
      <c r="E143" s="3" t="s">
        <v>421</v>
      </c>
      <c r="F143" s="3" t="s">
        <v>22</v>
      </c>
      <c r="G143" s="3" t="s">
        <v>66</v>
      </c>
      <c r="H143" s="3" t="s">
        <v>114</v>
      </c>
      <c r="I143" s="3" t="s">
        <v>25</v>
      </c>
      <c r="J143" s="3" t="s">
        <v>94</v>
      </c>
      <c r="K143" s="3">
        <v>6</v>
      </c>
      <c r="L143" s="3">
        <v>18000</v>
      </c>
      <c r="M143" s="3">
        <v>5</v>
      </c>
      <c r="N143" s="3">
        <v>102600</v>
      </c>
      <c r="O143" s="3">
        <v>31211.29</v>
      </c>
      <c r="P143" s="3" t="s">
        <v>37</v>
      </c>
      <c r="Q143" s="3" t="s">
        <v>28</v>
      </c>
    </row>
    <row r="144" spans="1:17" x14ac:dyDescent="0.35">
      <c r="A144" s="2" t="s">
        <v>422</v>
      </c>
      <c r="B144" s="2" t="s">
        <v>423</v>
      </c>
      <c r="C144" s="2" t="s">
        <v>54</v>
      </c>
      <c r="D144" s="2" t="s">
        <v>20</v>
      </c>
      <c r="E144" s="2" t="s">
        <v>104</v>
      </c>
      <c r="F144" s="2" t="s">
        <v>56</v>
      </c>
      <c r="G144" s="2" t="s">
        <v>66</v>
      </c>
      <c r="H144" s="2" t="s">
        <v>114</v>
      </c>
      <c r="I144" s="2" t="s">
        <v>42</v>
      </c>
      <c r="J144" s="2" t="s">
        <v>187</v>
      </c>
      <c r="K144" s="2">
        <v>5</v>
      </c>
      <c r="L144" s="2">
        <v>350</v>
      </c>
      <c r="M144" s="2">
        <v>5</v>
      </c>
      <c r="N144" s="2">
        <v>1662.5</v>
      </c>
      <c r="O144" s="2">
        <v>152.66</v>
      </c>
      <c r="P144" s="2" t="s">
        <v>27</v>
      </c>
      <c r="Q144" s="2" t="s">
        <v>28</v>
      </c>
    </row>
    <row r="145" spans="1:17" x14ac:dyDescent="0.35">
      <c r="A145" s="3" t="s">
        <v>424</v>
      </c>
      <c r="B145" s="3" t="s">
        <v>425</v>
      </c>
      <c r="C145" s="3" t="s">
        <v>256</v>
      </c>
      <c r="D145" s="3" t="s">
        <v>20</v>
      </c>
      <c r="E145" s="3" t="s">
        <v>141</v>
      </c>
      <c r="F145" s="3" t="s">
        <v>56</v>
      </c>
      <c r="G145" s="3" t="s">
        <v>73</v>
      </c>
      <c r="H145" s="3" t="s">
        <v>74</v>
      </c>
      <c r="I145" s="3" t="s">
        <v>50</v>
      </c>
      <c r="J145" s="3" t="s">
        <v>75</v>
      </c>
      <c r="K145" s="3">
        <v>5</v>
      </c>
      <c r="L145" s="3">
        <v>45000</v>
      </c>
      <c r="M145" s="3">
        <v>10</v>
      </c>
      <c r="N145" s="3">
        <v>202500</v>
      </c>
      <c r="O145" s="3">
        <v>63337.42</v>
      </c>
      <c r="P145" s="3" t="s">
        <v>37</v>
      </c>
      <c r="Q145" s="3" t="s">
        <v>28</v>
      </c>
    </row>
    <row r="146" spans="1:17" x14ac:dyDescent="0.35">
      <c r="A146" s="2" t="s">
        <v>426</v>
      </c>
      <c r="B146" s="2" t="s">
        <v>427</v>
      </c>
      <c r="C146" s="2" t="s">
        <v>71</v>
      </c>
      <c r="D146" s="2" t="s">
        <v>20</v>
      </c>
      <c r="E146" s="2" t="s">
        <v>408</v>
      </c>
      <c r="F146" s="2" t="s">
        <v>22</v>
      </c>
      <c r="G146" s="2" t="s">
        <v>73</v>
      </c>
      <c r="H146" s="2" t="s">
        <v>211</v>
      </c>
      <c r="I146" s="2" t="s">
        <v>42</v>
      </c>
      <c r="J146" s="2" t="s">
        <v>68</v>
      </c>
      <c r="K146" s="2">
        <v>6</v>
      </c>
      <c r="L146" s="2">
        <v>150</v>
      </c>
      <c r="M146" s="2">
        <v>5</v>
      </c>
      <c r="N146" s="2">
        <v>855</v>
      </c>
      <c r="O146" s="2">
        <v>182.95</v>
      </c>
      <c r="P146" s="2" t="s">
        <v>37</v>
      </c>
      <c r="Q146" s="2" t="s">
        <v>28</v>
      </c>
    </row>
    <row r="147" spans="1:17" x14ac:dyDescent="0.35">
      <c r="A147" s="3" t="s">
        <v>428</v>
      </c>
      <c r="B147" s="3" t="s">
        <v>429</v>
      </c>
      <c r="C147" s="3" t="s">
        <v>129</v>
      </c>
      <c r="D147" s="3" t="s">
        <v>20</v>
      </c>
      <c r="E147" s="3" t="s">
        <v>298</v>
      </c>
      <c r="F147" s="3" t="s">
        <v>56</v>
      </c>
      <c r="G147" s="3" t="s">
        <v>73</v>
      </c>
      <c r="H147" s="3" t="s">
        <v>93</v>
      </c>
      <c r="I147" s="3" t="s">
        <v>42</v>
      </c>
      <c r="J147" s="3" t="s">
        <v>184</v>
      </c>
      <c r="K147" s="3">
        <v>3</v>
      </c>
      <c r="L147" s="3">
        <v>120</v>
      </c>
      <c r="M147" s="3">
        <v>20</v>
      </c>
      <c r="N147" s="3">
        <v>288</v>
      </c>
      <c r="O147" s="3">
        <v>45.88</v>
      </c>
      <c r="P147" s="3" t="s">
        <v>27</v>
      </c>
      <c r="Q147" s="3" t="s">
        <v>28</v>
      </c>
    </row>
    <row r="148" spans="1:17" x14ac:dyDescent="0.35">
      <c r="A148" s="2" t="s">
        <v>430</v>
      </c>
      <c r="B148" s="2" t="s">
        <v>431</v>
      </c>
      <c r="C148" s="2" t="s">
        <v>40</v>
      </c>
      <c r="D148" s="2" t="s">
        <v>20</v>
      </c>
      <c r="E148" s="2" t="s">
        <v>61</v>
      </c>
      <c r="F148" s="2" t="s">
        <v>56</v>
      </c>
      <c r="G148" s="2" t="s">
        <v>73</v>
      </c>
      <c r="H148" s="2" t="s">
        <v>211</v>
      </c>
      <c r="I148" s="2" t="s">
        <v>35</v>
      </c>
      <c r="J148" s="2" t="s">
        <v>172</v>
      </c>
      <c r="K148" s="2">
        <v>6</v>
      </c>
      <c r="L148" s="2">
        <v>2499</v>
      </c>
      <c r="M148" s="2">
        <v>15</v>
      </c>
      <c r="N148" s="2">
        <v>12744.9</v>
      </c>
      <c r="O148" s="2">
        <v>1165.3399999999999</v>
      </c>
      <c r="P148" s="2" t="s">
        <v>37</v>
      </c>
      <c r="Q148" s="2" t="s">
        <v>82</v>
      </c>
    </row>
    <row r="149" spans="1:17" x14ac:dyDescent="0.35">
      <c r="A149" s="3" t="s">
        <v>432</v>
      </c>
      <c r="B149" s="3" t="s">
        <v>433</v>
      </c>
      <c r="C149" s="3" t="s">
        <v>161</v>
      </c>
      <c r="D149" s="3" t="s">
        <v>20</v>
      </c>
      <c r="E149" s="3" t="s">
        <v>165</v>
      </c>
      <c r="F149" s="3" t="s">
        <v>33</v>
      </c>
      <c r="G149" s="3" t="s">
        <v>23</v>
      </c>
      <c r="H149" s="3" t="s">
        <v>24</v>
      </c>
      <c r="I149" s="3" t="s">
        <v>42</v>
      </c>
      <c r="J149" s="3" t="s">
        <v>43</v>
      </c>
      <c r="K149" s="3">
        <v>9</v>
      </c>
      <c r="L149" s="3">
        <v>220</v>
      </c>
      <c r="M149" s="3">
        <v>5</v>
      </c>
      <c r="N149" s="3">
        <v>1881</v>
      </c>
      <c r="O149" s="3">
        <v>634.37</v>
      </c>
      <c r="P149" s="3" t="s">
        <v>37</v>
      </c>
      <c r="Q149" s="3" t="s">
        <v>28</v>
      </c>
    </row>
    <row r="150" spans="1:17" x14ac:dyDescent="0.35">
      <c r="A150" s="2" t="s">
        <v>434</v>
      </c>
      <c r="B150" s="2" t="s">
        <v>435</v>
      </c>
      <c r="C150" s="2" t="s">
        <v>117</v>
      </c>
      <c r="D150" s="2" t="s">
        <v>20</v>
      </c>
      <c r="E150" s="2" t="s">
        <v>193</v>
      </c>
      <c r="F150" s="2" t="s">
        <v>56</v>
      </c>
      <c r="G150" s="2" t="s">
        <v>48</v>
      </c>
      <c r="H150" s="2" t="s">
        <v>49</v>
      </c>
      <c r="I150" s="2" t="s">
        <v>42</v>
      </c>
      <c r="J150" s="2" t="s">
        <v>184</v>
      </c>
      <c r="K150" s="2">
        <v>1</v>
      </c>
      <c r="L150" s="2">
        <v>120</v>
      </c>
      <c r="M150" s="2">
        <v>20</v>
      </c>
      <c r="N150" s="2">
        <v>96</v>
      </c>
      <c r="O150" s="2">
        <v>11.66</v>
      </c>
      <c r="P150" s="2" t="s">
        <v>37</v>
      </c>
      <c r="Q150" s="2" t="s">
        <v>28</v>
      </c>
    </row>
    <row r="151" spans="1:17" x14ac:dyDescent="0.35">
      <c r="A151" s="3" t="s">
        <v>436</v>
      </c>
      <c r="B151" s="3" t="s">
        <v>437</v>
      </c>
      <c r="C151" s="3" t="s">
        <v>256</v>
      </c>
      <c r="D151" s="3" t="s">
        <v>20</v>
      </c>
      <c r="E151" s="3" t="s">
        <v>438</v>
      </c>
      <c r="F151" s="3" t="s">
        <v>56</v>
      </c>
      <c r="G151" s="3" t="s">
        <v>66</v>
      </c>
      <c r="H151" s="3" t="s">
        <v>98</v>
      </c>
      <c r="I151" s="3" t="s">
        <v>42</v>
      </c>
      <c r="J151" s="3" t="s">
        <v>43</v>
      </c>
      <c r="K151" s="3">
        <v>5</v>
      </c>
      <c r="L151" s="3">
        <v>220</v>
      </c>
      <c r="M151" s="3">
        <v>5</v>
      </c>
      <c r="N151" s="3">
        <v>1045</v>
      </c>
      <c r="O151" s="3">
        <v>354.61</v>
      </c>
      <c r="P151" s="3" t="s">
        <v>27</v>
      </c>
      <c r="Q151" s="3" t="s">
        <v>28</v>
      </c>
    </row>
    <row r="152" spans="1:17" x14ac:dyDescent="0.35">
      <c r="A152" s="2" t="s">
        <v>439</v>
      </c>
      <c r="B152" s="2" t="s">
        <v>440</v>
      </c>
      <c r="C152" s="2" t="s">
        <v>71</v>
      </c>
      <c r="D152" s="2" t="s">
        <v>20</v>
      </c>
      <c r="E152" s="2" t="s">
        <v>405</v>
      </c>
      <c r="F152" s="2" t="s">
        <v>33</v>
      </c>
      <c r="G152" s="2" t="s">
        <v>23</v>
      </c>
      <c r="H152" s="2" t="s">
        <v>194</v>
      </c>
      <c r="I152" s="2" t="s">
        <v>25</v>
      </c>
      <c r="J152" s="2" t="s">
        <v>237</v>
      </c>
      <c r="K152" s="2">
        <v>4</v>
      </c>
      <c r="L152" s="2">
        <v>22000</v>
      </c>
      <c r="M152" s="2">
        <v>20</v>
      </c>
      <c r="N152" s="2">
        <v>70400</v>
      </c>
      <c r="O152" s="2">
        <v>11060.25</v>
      </c>
      <c r="P152" s="2" t="s">
        <v>27</v>
      </c>
      <c r="Q152" s="2" t="s">
        <v>82</v>
      </c>
    </row>
    <row r="153" spans="1:17" x14ac:dyDescent="0.35">
      <c r="A153" s="3" t="s">
        <v>441</v>
      </c>
      <c r="B153" s="3" t="s">
        <v>442</v>
      </c>
      <c r="C153" s="3" t="s">
        <v>78</v>
      </c>
      <c r="D153" s="3" t="s">
        <v>20</v>
      </c>
      <c r="E153" s="3" t="s">
        <v>443</v>
      </c>
      <c r="F153" s="3" t="s">
        <v>56</v>
      </c>
      <c r="G153" s="3" t="s">
        <v>73</v>
      </c>
      <c r="H153" s="3" t="s">
        <v>105</v>
      </c>
      <c r="I153" s="3" t="s">
        <v>42</v>
      </c>
      <c r="J153" s="3" t="s">
        <v>187</v>
      </c>
      <c r="K153" s="3">
        <v>6</v>
      </c>
      <c r="L153" s="3">
        <v>350</v>
      </c>
      <c r="M153" s="3">
        <v>10</v>
      </c>
      <c r="N153" s="3">
        <v>1890</v>
      </c>
      <c r="O153" s="3">
        <v>513.28</v>
      </c>
      <c r="P153" s="3" t="s">
        <v>37</v>
      </c>
      <c r="Q153" s="3" t="s">
        <v>28</v>
      </c>
    </row>
    <row r="154" spans="1:17" x14ac:dyDescent="0.35">
      <c r="A154" s="2" t="s">
        <v>444</v>
      </c>
      <c r="B154" s="2" t="s">
        <v>445</v>
      </c>
      <c r="C154" s="2" t="s">
        <v>134</v>
      </c>
      <c r="D154" s="2" t="s">
        <v>20</v>
      </c>
      <c r="E154" s="2" t="s">
        <v>97</v>
      </c>
      <c r="F154" s="2" t="s">
        <v>33</v>
      </c>
      <c r="G154" s="2" t="s">
        <v>66</v>
      </c>
      <c r="H154" s="2" t="s">
        <v>98</v>
      </c>
      <c r="I154" s="2" t="s">
        <v>80</v>
      </c>
      <c r="J154" s="2" t="s">
        <v>119</v>
      </c>
      <c r="K154" s="2">
        <v>2</v>
      </c>
      <c r="L154" s="2">
        <v>800</v>
      </c>
      <c r="M154" s="2">
        <v>5</v>
      </c>
      <c r="N154" s="2">
        <v>1520</v>
      </c>
      <c r="O154" s="2">
        <v>446.66</v>
      </c>
      <c r="P154" s="2" t="s">
        <v>37</v>
      </c>
      <c r="Q154" s="2" t="s">
        <v>28</v>
      </c>
    </row>
    <row r="155" spans="1:17" x14ac:dyDescent="0.35">
      <c r="A155" s="3" t="s">
        <v>446</v>
      </c>
      <c r="B155" s="3" t="s">
        <v>447</v>
      </c>
      <c r="C155" s="3" t="s">
        <v>46</v>
      </c>
      <c r="D155" s="3" t="s">
        <v>20</v>
      </c>
      <c r="E155" s="3" t="s">
        <v>130</v>
      </c>
      <c r="F155" s="3" t="s">
        <v>22</v>
      </c>
      <c r="G155" s="3" t="s">
        <v>48</v>
      </c>
      <c r="H155" s="3" t="s">
        <v>109</v>
      </c>
      <c r="I155" s="3" t="s">
        <v>80</v>
      </c>
      <c r="J155" s="3" t="s">
        <v>119</v>
      </c>
      <c r="K155" s="3">
        <v>10</v>
      </c>
      <c r="L155" s="3">
        <v>800</v>
      </c>
      <c r="M155" s="3">
        <v>0</v>
      </c>
      <c r="N155" s="3">
        <v>8000</v>
      </c>
      <c r="O155" s="3">
        <v>782.02</v>
      </c>
      <c r="P155" s="3" t="s">
        <v>37</v>
      </c>
      <c r="Q155" s="3" t="s">
        <v>28</v>
      </c>
    </row>
    <row r="156" spans="1:17" x14ac:dyDescent="0.35">
      <c r="A156" s="2" t="s">
        <v>448</v>
      </c>
      <c r="B156" s="2" t="s">
        <v>449</v>
      </c>
      <c r="C156" s="2" t="s">
        <v>40</v>
      </c>
      <c r="D156" s="2" t="s">
        <v>20</v>
      </c>
      <c r="E156" s="2" t="s">
        <v>61</v>
      </c>
      <c r="F156" s="2" t="s">
        <v>22</v>
      </c>
      <c r="G156" s="2" t="s">
        <v>23</v>
      </c>
      <c r="H156" s="2" t="s">
        <v>34</v>
      </c>
      <c r="I156" s="2" t="s">
        <v>25</v>
      </c>
      <c r="J156" s="2" t="s">
        <v>257</v>
      </c>
      <c r="K156" s="2">
        <v>8</v>
      </c>
      <c r="L156" s="2">
        <v>8500</v>
      </c>
      <c r="M156" s="2">
        <v>15</v>
      </c>
      <c r="N156" s="2">
        <v>57800</v>
      </c>
      <c r="O156" s="2">
        <v>15237.78</v>
      </c>
      <c r="P156" s="2" t="s">
        <v>27</v>
      </c>
      <c r="Q156" s="2" t="s">
        <v>28</v>
      </c>
    </row>
    <row r="157" spans="1:17" x14ac:dyDescent="0.35">
      <c r="A157" s="3" t="s">
        <v>450</v>
      </c>
      <c r="B157" s="3" t="s">
        <v>401</v>
      </c>
      <c r="C157" s="3" t="s">
        <v>161</v>
      </c>
      <c r="D157" s="3" t="s">
        <v>20</v>
      </c>
      <c r="E157" s="3" t="s">
        <v>388</v>
      </c>
      <c r="F157" s="3" t="s">
        <v>56</v>
      </c>
      <c r="G157" s="3" t="s">
        <v>66</v>
      </c>
      <c r="H157" s="3" t="s">
        <v>86</v>
      </c>
      <c r="I157" s="3" t="s">
        <v>80</v>
      </c>
      <c r="J157" s="3" t="s">
        <v>89</v>
      </c>
      <c r="K157" s="3">
        <v>2</v>
      </c>
      <c r="L157" s="3">
        <v>1500</v>
      </c>
      <c r="M157" s="3">
        <v>20</v>
      </c>
      <c r="N157" s="3">
        <v>2400</v>
      </c>
      <c r="O157" s="3">
        <v>291.14999999999998</v>
      </c>
      <c r="P157" s="3" t="s">
        <v>27</v>
      </c>
      <c r="Q157" s="3" t="s">
        <v>28</v>
      </c>
    </row>
    <row r="158" spans="1:17" x14ac:dyDescent="0.35">
      <c r="A158" s="2" t="s">
        <v>451</v>
      </c>
      <c r="B158" s="2" t="s">
        <v>331</v>
      </c>
      <c r="C158" s="2" t="s">
        <v>40</v>
      </c>
      <c r="D158" s="2" t="s">
        <v>20</v>
      </c>
      <c r="E158" s="2" t="s">
        <v>390</v>
      </c>
      <c r="F158" s="2" t="s">
        <v>22</v>
      </c>
      <c r="G158" s="2" t="s">
        <v>48</v>
      </c>
      <c r="H158" s="2" t="s">
        <v>169</v>
      </c>
      <c r="I158" s="2" t="s">
        <v>25</v>
      </c>
      <c r="J158" s="2" t="s">
        <v>26</v>
      </c>
      <c r="K158" s="2">
        <v>9</v>
      </c>
      <c r="L158" s="2">
        <v>5500</v>
      </c>
      <c r="M158" s="2">
        <v>10</v>
      </c>
      <c r="N158" s="2">
        <v>44550</v>
      </c>
      <c r="O158" s="2">
        <v>5069.6099999999997</v>
      </c>
      <c r="P158" s="2" t="s">
        <v>27</v>
      </c>
      <c r="Q158" s="2" t="s">
        <v>28</v>
      </c>
    </row>
    <row r="159" spans="1:17" x14ac:dyDescent="0.35">
      <c r="A159" s="3" t="s">
        <v>452</v>
      </c>
      <c r="B159" s="3" t="s">
        <v>453</v>
      </c>
      <c r="C159" s="3" t="s">
        <v>256</v>
      </c>
      <c r="D159" s="3" t="s">
        <v>20</v>
      </c>
      <c r="E159" s="3" t="s">
        <v>390</v>
      </c>
      <c r="F159" s="3" t="s">
        <v>33</v>
      </c>
      <c r="G159" s="3" t="s">
        <v>66</v>
      </c>
      <c r="H159" s="3" t="s">
        <v>67</v>
      </c>
      <c r="I159" s="3" t="s">
        <v>80</v>
      </c>
      <c r="J159" s="3" t="s">
        <v>81</v>
      </c>
      <c r="K159" s="3">
        <v>6</v>
      </c>
      <c r="L159" s="3">
        <v>950</v>
      </c>
      <c r="M159" s="3">
        <v>20</v>
      </c>
      <c r="N159" s="3">
        <v>4560</v>
      </c>
      <c r="O159" s="3">
        <v>415.52</v>
      </c>
      <c r="P159" s="3" t="s">
        <v>27</v>
      </c>
      <c r="Q159" s="3" t="s">
        <v>28</v>
      </c>
    </row>
    <row r="160" spans="1:17" x14ac:dyDescent="0.35">
      <c r="A160" s="2" t="s">
        <v>454</v>
      </c>
      <c r="B160" s="2" t="s">
        <v>231</v>
      </c>
      <c r="C160" s="2" t="s">
        <v>31</v>
      </c>
      <c r="D160" s="2" t="s">
        <v>20</v>
      </c>
      <c r="E160" s="2" t="s">
        <v>455</v>
      </c>
      <c r="F160" s="2" t="s">
        <v>22</v>
      </c>
      <c r="G160" s="2" t="s">
        <v>48</v>
      </c>
      <c r="H160" s="2" t="s">
        <v>57</v>
      </c>
      <c r="I160" s="2" t="s">
        <v>80</v>
      </c>
      <c r="J160" s="2" t="s">
        <v>110</v>
      </c>
      <c r="K160" s="2">
        <v>10</v>
      </c>
      <c r="L160" s="2">
        <v>1200</v>
      </c>
      <c r="M160" s="2">
        <v>0</v>
      </c>
      <c r="N160" s="2">
        <v>12000</v>
      </c>
      <c r="O160" s="2">
        <v>2573.64</v>
      </c>
      <c r="P160" s="2" t="s">
        <v>37</v>
      </c>
      <c r="Q160" s="2" t="s">
        <v>28</v>
      </c>
    </row>
    <row r="161" spans="1:17" x14ac:dyDescent="0.35">
      <c r="A161" s="3" t="s">
        <v>456</v>
      </c>
      <c r="B161" s="3" t="s">
        <v>457</v>
      </c>
      <c r="C161" s="3" t="s">
        <v>71</v>
      </c>
      <c r="D161" s="3" t="s">
        <v>20</v>
      </c>
      <c r="E161" s="3" t="s">
        <v>399</v>
      </c>
      <c r="F161" s="3" t="s">
        <v>33</v>
      </c>
      <c r="G161" s="3" t="s">
        <v>73</v>
      </c>
      <c r="H161" s="3" t="s">
        <v>74</v>
      </c>
      <c r="I161" s="3" t="s">
        <v>42</v>
      </c>
      <c r="J161" s="3" t="s">
        <v>187</v>
      </c>
      <c r="K161" s="3">
        <v>1</v>
      </c>
      <c r="L161" s="3">
        <v>350</v>
      </c>
      <c r="M161" s="3">
        <v>5</v>
      </c>
      <c r="N161" s="3">
        <v>332.5</v>
      </c>
      <c r="O161" s="3">
        <v>66.069999999999993</v>
      </c>
      <c r="P161" s="3" t="s">
        <v>37</v>
      </c>
      <c r="Q161" s="3" t="s">
        <v>28</v>
      </c>
    </row>
    <row r="162" spans="1:17" x14ac:dyDescent="0.35">
      <c r="A162" s="2" t="s">
        <v>458</v>
      </c>
      <c r="B162" s="2" t="s">
        <v>459</v>
      </c>
      <c r="C162" s="2" t="s">
        <v>129</v>
      </c>
      <c r="D162" s="2" t="s">
        <v>20</v>
      </c>
      <c r="E162" s="2" t="s">
        <v>460</v>
      </c>
      <c r="F162" s="2" t="s">
        <v>33</v>
      </c>
      <c r="G162" s="2" t="s">
        <v>48</v>
      </c>
      <c r="H162" s="2" t="s">
        <v>49</v>
      </c>
      <c r="I162" s="2" t="s">
        <v>25</v>
      </c>
      <c r="J162" s="2" t="s">
        <v>237</v>
      </c>
      <c r="K162" s="2">
        <v>3</v>
      </c>
      <c r="L162" s="2">
        <v>22000</v>
      </c>
      <c r="M162" s="2">
        <v>10</v>
      </c>
      <c r="N162" s="2">
        <v>59400</v>
      </c>
      <c r="O162" s="2">
        <v>13011.25</v>
      </c>
      <c r="P162" s="2" t="s">
        <v>37</v>
      </c>
      <c r="Q162" s="2" t="s">
        <v>28</v>
      </c>
    </row>
    <row r="163" spans="1:17" x14ac:dyDescent="0.35">
      <c r="A163" s="3" t="s">
        <v>461</v>
      </c>
      <c r="B163" s="3" t="s">
        <v>462</v>
      </c>
      <c r="C163" s="3" t="s">
        <v>31</v>
      </c>
      <c r="D163" s="3" t="s">
        <v>20</v>
      </c>
      <c r="E163" s="3" t="s">
        <v>443</v>
      </c>
      <c r="F163" s="3" t="s">
        <v>33</v>
      </c>
      <c r="G163" s="3" t="s">
        <v>73</v>
      </c>
      <c r="H163" s="3" t="s">
        <v>105</v>
      </c>
      <c r="I163" s="3" t="s">
        <v>35</v>
      </c>
      <c r="J163" s="3" t="s">
        <v>205</v>
      </c>
      <c r="K163" s="3">
        <v>1</v>
      </c>
      <c r="L163" s="3">
        <v>499</v>
      </c>
      <c r="M163" s="3">
        <v>10</v>
      </c>
      <c r="N163" s="3">
        <v>449.1</v>
      </c>
      <c r="O163" s="3">
        <v>150.56</v>
      </c>
      <c r="P163" s="3" t="s">
        <v>37</v>
      </c>
      <c r="Q163" s="3" t="s">
        <v>28</v>
      </c>
    </row>
    <row r="164" spans="1:17" x14ac:dyDescent="0.35">
      <c r="A164" s="2" t="s">
        <v>463</v>
      </c>
      <c r="B164" s="2" t="s">
        <v>464</v>
      </c>
      <c r="C164" s="2" t="s">
        <v>40</v>
      </c>
      <c r="D164" s="2" t="s">
        <v>20</v>
      </c>
      <c r="E164" s="2" t="s">
        <v>354</v>
      </c>
      <c r="F164" s="2" t="s">
        <v>33</v>
      </c>
      <c r="G164" s="2" t="s">
        <v>48</v>
      </c>
      <c r="H164" s="2" t="s">
        <v>57</v>
      </c>
      <c r="I164" s="2" t="s">
        <v>35</v>
      </c>
      <c r="J164" s="2" t="s">
        <v>172</v>
      </c>
      <c r="K164" s="2">
        <v>9</v>
      </c>
      <c r="L164" s="2">
        <v>2499</v>
      </c>
      <c r="M164" s="2">
        <v>15</v>
      </c>
      <c r="N164" s="2">
        <v>19117.349999999999</v>
      </c>
      <c r="O164" s="2">
        <v>4103.83</v>
      </c>
      <c r="P164" s="2" t="s">
        <v>37</v>
      </c>
      <c r="Q164" s="2" t="s">
        <v>82</v>
      </c>
    </row>
    <row r="165" spans="1:17" x14ac:dyDescent="0.35">
      <c r="A165" s="3" t="s">
        <v>465</v>
      </c>
      <c r="B165" s="3" t="s">
        <v>466</v>
      </c>
      <c r="C165" s="3" t="s">
        <v>71</v>
      </c>
      <c r="D165" s="3" t="s">
        <v>20</v>
      </c>
      <c r="E165" s="3" t="s">
        <v>178</v>
      </c>
      <c r="F165" s="3" t="s">
        <v>56</v>
      </c>
      <c r="G165" s="3" t="s">
        <v>73</v>
      </c>
      <c r="H165" s="3" t="s">
        <v>105</v>
      </c>
      <c r="I165" s="3" t="s">
        <v>35</v>
      </c>
      <c r="J165" s="3" t="s">
        <v>36</v>
      </c>
      <c r="K165" s="3">
        <v>6</v>
      </c>
      <c r="L165" s="3">
        <v>1999</v>
      </c>
      <c r="M165" s="3">
        <v>0</v>
      </c>
      <c r="N165" s="3">
        <v>11994</v>
      </c>
      <c r="O165" s="3">
        <v>1123.19</v>
      </c>
      <c r="P165" s="3" t="s">
        <v>37</v>
      </c>
      <c r="Q165" s="3" t="s">
        <v>28</v>
      </c>
    </row>
    <row r="166" spans="1:17" x14ac:dyDescent="0.35">
      <c r="A166" s="2" t="s">
        <v>467</v>
      </c>
      <c r="B166" s="2" t="s">
        <v>468</v>
      </c>
      <c r="C166" s="2" t="s">
        <v>46</v>
      </c>
      <c r="D166" s="2" t="s">
        <v>20</v>
      </c>
      <c r="E166" s="2" t="s">
        <v>204</v>
      </c>
      <c r="F166" s="2" t="s">
        <v>22</v>
      </c>
      <c r="G166" s="2" t="s">
        <v>23</v>
      </c>
      <c r="H166" s="2" t="s">
        <v>131</v>
      </c>
      <c r="I166" s="2" t="s">
        <v>35</v>
      </c>
      <c r="J166" s="2" t="s">
        <v>138</v>
      </c>
      <c r="K166" s="2">
        <v>6</v>
      </c>
      <c r="L166" s="2">
        <v>799</v>
      </c>
      <c r="M166" s="2">
        <v>15</v>
      </c>
      <c r="N166" s="2">
        <v>4074.9</v>
      </c>
      <c r="O166" s="2">
        <v>728.6</v>
      </c>
      <c r="P166" s="2" t="s">
        <v>27</v>
      </c>
      <c r="Q166" s="2" t="s">
        <v>28</v>
      </c>
    </row>
    <row r="167" spans="1:17" x14ac:dyDescent="0.35">
      <c r="A167" s="3" t="s">
        <v>469</v>
      </c>
      <c r="B167" s="3" t="s">
        <v>350</v>
      </c>
      <c r="C167" s="3" t="s">
        <v>31</v>
      </c>
      <c r="D167" s="3" t="s">
        <v>20</v>
      </c>
      <c r="E167" s="3" t="s">
        <v>118</v>
      </c>
      <c r="F167" s="3" t="s">
        <v>33</v>
      </c>
      <c r="G167" s="3" t="s">
        <v>48</v>
      </c>
      <c r="H167" s="3" t="s">
        <v>169</v>
      </c>
      <c r="I167" s="3" t="s">
        <v>42</v>
      </c>
      <c r="J167" s="3" t="s">
        <v>184</v>
      </c>
      <c r="K167" s="3">
        <v>8</v>
      </c>
      <c r="L167" s="3">
        <v>120</v>
      </c>
      <c r="M167" s="3">
        <v>20</v>
      </c>
      <c r="N167" s="3">
        <v>768</v>
      </c>
      <c r="O167" s="3">
        <v>119.44</v>
      </c>
      <c r="P167" s="3" t="s">
        <v>27</v>
      </c>
      <c r="Q167" s="3" t="s">
        <v>28</v>
      </c>
    </row>
    <row r="168" spans="1:17" x14ac:dyDescent="0.35">
      <c r="A168" s="2" t="s">
        <v>470</v>
      </c>
      <c r="B168" s="2" t="s">
        <v>471</v>
      </c>
      <c r="C168" s="2" t="s">
        <v>256</v>
      </c>
      <c r="D168" s="2" t="s">
        <v>20</v>
      </c>
      <c r="E168" s="2" t="s">
        <v>405</v>
      </c>
      <c r="F168" s="2" t="s">
        <v>33</v>
      </c>
      <c r="G168" s="2" t="s">
        <v>48</v>
      </c>
      <c r="H168" s="2" t="s">
        <v>49</v>
      </c>
      <c r="I168" s="2" t="s">
        <v>35</v>
      </c>
      <c r="J168" s="2" t="s">
        <v>126</v>
      </c>
      <c r="K168" s="2">
        <v>10</v>
      </c>
      <c r="L168" s="2">
        <v>1299</v>
      </c>
      <c r="M168" s="2">
        <v>20</v>
      </c>
      <c r="N168" s="2">
        <v>10392</v>
      </c>
      <c r="O168" s="2">
        <v>1957.59</v>
      </c>
      <c r="P168" s="2" t="s">
        <v>27</v>
      </c>
      <c r="Q168" s="2" t="s">
        <v>28</v>
      </c>
    </row>
    <row r="169" spans="1:17" x14ac:dyDescent="0.35">
      <c r="A169" s="3" t="s">
        <v>472</v>
      </c>
      <c r="B169" s="3" t="s">
        <v>473</v>
      </c>
      <c r="C169" s="3" t="s">
        <v>31</v>
      </c>
      <c r="D169" s="3" t="s">
        <v>20</v>
      </c>
      <c r="E169" s="3" t="s">
        <v>474</v>
      </c>
      <c r="F169" s="3" t="s">
        <v>33</v>
      </c>
      <c r="G169" s="3" t="s">
        <v>73</v>
      </c>
      <c r="H169" s="3" t="s">
        <v>211</v>
      </c>
      <c r="I169" s="3" t="s">
        <v>35</v>
      </c>
      <c r="J169" s="3" t="s">
        <v>36</v>
      </c>
      <c r="K169" s="3">
        <v>9</v>
      </c>
      <c r="L169" s="3">
        <v>1999</v>
      </c>
      <c r="M169" s="3">
        <v>5</v>
      </c>
      <c r="N169" s="3">
        <v>17091.45</v>
      </c>
      <c r="O169" s="3">
        <v>2880.78</v>
      </c>
      <c r="P169" s="3" t="s">
        <v>37</v>
      </c>
      <c r="Q169" s="3" t="s">
        <v>82</v>
      </c>
    </row>
    <row r="170" spans="1:17" x14ac:dyDescent="0.35">
      <c r="A170" s="2" t="s">
        <v>475</v>
      </c>
      <c r="B170" s="2" t="s">
        <v>476</v>
      </c>
      <c r="C170" s="2" t="s">
        <v>40</v>
      </c>
      <c r="D170" s="2" t="s">
        <v>20</v>
      </c>
      <c r="E170" s="2" t="s">
        <v>152</v>
      </c>
      <c r="F170" s="2" t="s">
        <v>33</v>
      </c>
      <c r="G170" s="2" t="s">
        <v>48</v>
      </c>
      <c r="H170" s="2" t="s">
        <v>49</v>
      </c>
      <c r="I170" s="2" t="s">
        <v>80</v>
      </c>
      <c r="J170" s="2" t="s">
        <v>81</v>
      </c>
      <c r="K170" s="2">
        <v>9</v>
      </c>
      <c r="L170" s="2">
        <v>950</v>
      </c>
      <c r="M170" s="2">
        <v>15</v>
      </c>
      <c r="N170" s="2">
        <v>7267.5</v>
      </c>
      <c r="O170" s="2">
        <v>1972.11</v>
      </c>
      <c r="P170" s="2" t="s">
        <v>37</v>
      </c>
      <c r="Q170" s="2" t="s">
        <v>28</v>
      </c>
    </row>
    <row r="171" spans="1:17" x14ac:dyDescent="0.35">
      <c r="A171" s="3" t="s">
        <v>477</v>
      </c>
      <c r="B171" s="3" t="s">
        <v>478</v>
      </c>
      <c r="C171" s="3" t="s">
        <v>19</v>
      </c>
      <c r="D171" s="3" t="s">
        <v>20</v>
      </c>
      <c r="E171" s="3" t="s">
        <v>284</v>
      </c>
      <c r="F171" s="3" t="s">
        <v>22</v>
      </c>
      <c r="G171" s="3" t="s">
        <v>23</v>
      </c>
      <c r="H171" s="3" t="s">
        <v>131</v>
      </c>
      <c r="I171" s="3" t="s">
        <v>80</v>
      </c>
      <c r="J171" s="3" t="s">
        <v>240</v>
      </c>
      <c r="K171" s="3">
        <v>1</v>
      </c>
      <c r="L171" s="3">
        <v>600</v>
      </c>
      <c r="M171" s="3">
        <v>20</v>
      </c>
      <c r="N171" s="3">
        <v>480</v>
      </c>
      <c r="O171" s="3">
        <v>99.91</v>
      </c>
      <c r="P171" s="3" t="s">
        <v>27</v>
      </c>
      <c r="Q171" s="3" t="s">
        <v>28</v>
      </c>
    </row>
    <row r="172" spans="1:17" x14ac:dyDescent="0.35">
      <c r="A172" s="2" t="s">
        <v>479</v>
      </c>
      <c r="B172" s="2" t="s">
        <v>365</v>
      </c>
      <c r="C172" s="2" t="s">
        <v>129</v>
      </c>
      <c r="D172" s="2" t="s">
        <v>20</v>
      </c>
      <c r="E172" s="2" t="s">
        <v>193</v>
      </c>
      <c r="F172" s="2" t="s">
        <v>33</v>
      </c>
      <c r="G172" s="2" t="s">
        <v>66</v>
      </c>
      <c r="H172" s="2" t="s">
        <v>86</v>
      </c>
      <c r="I172" s="2" t="s">
        <v>35</v>
      </c>
      <c r="J172" s="2" t="s">
        <v>126</v>
      </c>
      <c r="K172" s="2">
        <v>1</v>
      </c>
      <c r="L172" s="2">
        <v>1299</v>
      </c>
      <c r="M172" s="2">
        <v>20</v>
      </c>
      <c r="N172" s="2">
        <v>1039.2</v>
      </c>
      <c r="O172" s="2">
        <v>349.19</v>
      </c>
      <c r="P172" s="2" t="s">
        <v>27</v>
      </c>
      <c r="Q172" s="2" t="s">
        <v>28</v>
      </c>
    </row>
    <row r="173" spans="1:17" x14ac:dyDescent="0.35">
      <c r="A173" s="3" t="s">
        <v>480</v>
      </c>
      <c r="B173" s="3" t="s">
        <v>481</v>
      </c>
      <c r="C173" s="3" t="s">
        <v>129</v>
      </c>
      <c r="D173" s="3" t="s">
        <v>20</v>
      </c>
      <c r="E173" s="3" t="s">
        <v>482</v>
      </c>
      <c r="F173" s="3" t="s">
        <v>22</v>
      </c>
      <c r="G173" s="3" t="s">
        <v>66</v>
      </c>
      <c r="H173" s="3" t="s">
        <v>86</v>
      </c>
      <c r="I173" s="3" t="s">
        <v>35</v>
      </c>
      <c r="J173" s="3" t="s">
        <v>172</v>
      </c>
      <c r="K173" s="3">
        <v>9</v>
      </c>
      <c r="L173" s="3">
        <v>2499</v>
      </c>
      <c r="M173" s="3">
        <v>20</v>
      </c>
      <c r="N173" s="3">
        <v>17992.8</v>
      </c>
      <c r="O173" s="3">
        <v>5911.37</v>
      </c>
      <c r="P173" s="3" t="s">
        <v>27</v>
      </c>
      <c r="Q173" s="3" t="s">
        <v>28</v>
      </c>
    </row>
    <row r="174" spans="1:17" x14ac:dyDescent="0.35">
      <c r="A174" s="2" t="s">
        <v>483</v>
      </c>
      <c r="B174" s="2" t="s">
        <v>242</v>
      </c>
      <c r="C174" s="2" t="s">
        <v>40</v>
      </c>
      <c r="D174" s="2" t="s">
        <v>20</v>
      </c>
      <c r="E174" s="2" t="s">
        <v>421</v>
      </c>
      <c r="F174" s="2" t="s">
        <v>22</v>
      </c>
      <c r="G174" s="2" t="s">
        <v>73</v>
      </c>
      <c r="H174" s="2" t="s">
        <v>211</v>
      </c>
      <c r="I174" s="2" t="s">
        <v>25</v>
      </c>
      <c r="J174" s="2" t="s">
        <v>26</v>
      </c>
      <c r="K174" s="2">
        <v>8</v>
      </c>
      <c r="L174" s="2">
        <v>5500</v>
      </c>
      <c r="M174" s="2">
        <v>20</v>
      </c>
      <c r="N174" s="2">
        <v>35200</v>
      </c>
      <c r="O174" s="2">
        <v>6069.48</v>
      </c>
      <c r="P174" s="2" t="s">
        <v>37</v>
      </c>
      <c r="Q174" s="2" t="s">
        <v>28</v>
      </c>
    </row>
    <row r="175" spans="1:17" x14ac:dyDescent="0.35">
      <c r="A175" s="3" t="s">
        <v>484</v>
      </c>
      <c r="B175" s="3" t="s">
        <v>485</v>
      </c>
      <c r="C175" s="3" t="s">
        <v>19</v>
      </c>
      <c r="D175" s="3" t="s">
        <v>20</v>
      </c>
      <c r="E175" s="3" t="s">
        <v>388</v>
      </c>
      <c r="F175" s="3" t="s">
        <v>22</v>
      </c>
      <c r="G175" s="3" t="s">
        <v>66</v>
      </c>
      <c r="H175" s="3" t="s">
        <v>98</v>
      </c>
      <c r="I175" s="3" t="s">
        <v>80</v>
      </c>
      <c r="J175" s="3" t="s">
        <v>240</v>
      </c>
      <c r="K175" s="3">
        <v>4</v>
      </c>
      <c r="L175" s="3">
        <v>600</v>
      </c>
      <c r="M175" s="3">
        <v>10</v>
      </c>
      <c r="N175" s="3">
        <v>2160</v>
      </c>
      <c r="O175" s="3">
        <v>622.54999999999995</v>
      </c>
      <c r="P175" s="3" t="s">
        <v>27</v>
      </c>
      <c r="Q175" s="3" t="s">
        <v>28</v>
      </c>
    </row>
    <row r="176" spans="1:17" x14ac:dyDescent="0.35">
      <c r="A176" s="2" t="s">
        <v>486</v>
      </c>
      <c r="B176" s="2" t="s">
        <v>294</v>
      </c>
      <c r="C176" s="2" t="s">
        <v>78</v>
      </c>
      <c r="D176" s="2" t="s">
        <v>20</v>
      </c>
      <c r="E176" s="2" t="s">
        <v>487</v>
      </c>
      <c r="F176" s="2" t="s">
        <v>56</v>
      </c>
      <c r="G176" s="2" t="s">
        <v>73</v>
      </c>
      <c r="H176" s="2" t="s">
        <v>74</v>
      </c>
      <c r="I176" s="2" t="s">
        <v>80</v>
      </c>
      <c r="J176" s="2" t="s">
        <v>240</v>
      </c>
      <c r="K176" s="2">
        <v>5</v>
      </c>
      <c r="L176" s="2">
        <v>600</v>
      </c>
      <c r="M176" s="2">
        <v>0</v>
      </c>
      <c r="N176" s="2">
        <v>3000</v>
      </c>
      <c r="O176" s="2">
        <v>704.52</v>
      </c>
      <c r="P176" s="2" t="s">
        <v>37</v>
      </c>
      <c r="Q176" s="2" t="s">
        <v>82</v>
      </c>
    </row>
    <row r="177" spans="1:17" x14ac:dyDescent="0.35">
      <c r="A177" s="3" t="s">
        <v>488</v>
      </c>
      <c r="B177" s="3" t="s">
        <v>478</v>
      </c>
      <c r="C177" s="3" t="s">
        <v>19</v>
      </c>
      <c r="D177" s="3" t="s">
        <v>20</v>
      </c>
      <c r="E177" s="3" t="s">
        <v>421</v>
      </c>
      <c r="F177" s="3" t="s">
        <v>22</v>
      </c>
      <c r="G177" s="3" t="s">
        <v>66</v>
      </c>
      <c r="H177" s="3" t="s">
        <v>98</v>
      </c>
      <c r="I177" s="3" t="s">
        <v>50</v>
      </c>
      <c r="J177" s="3" t="s">
        <v>198</v>
      </c>
      <c r="K177" s="3">
        <v>2</v>
      </c>
      <c r="L177" s="3">
        <v>2500</v>
      </c>
      <c r="M177" s="3">
        <v>10</v>
      </c>
      <c r="N177" s="3">
        <v>4500</v>
      </c>
      <c r="O177" s="3">
        <v>1482.67</v>
      </c>
      <c r="P177" s="3" t="s">
        <v>37</v>
      </c>
      <c r="Q177" s="3" t="s">
        <v>28</v>
      </c>
    </row>
    <row r="178" spans="1:17" x14ac:dyDescent="0.35">
      <c r="A178" s="2" t="s">
        <v>489</v>
      </c>
      <c r="B178" s="2" t="s">
        <v>318</v>
      </c>
      <c r="C178" s="2" t="s">
        <v>256</v>
      </c>
      <c r="D178" s="2" t="s">
        <v>20</v>
      </c>
      <c r="E178" s="2" t="s">
        <v>175</v>
      </c>
      <c r="F178" s="2" t="s">
        <v>22</v>
      </c>
      <c r="G178" s="2" t="s">
        <v>48</v>
      </c>
      <c r="H178" s="2" t="s">
        <v>49</v>
      </c>
      <c r="I178" s="2" t="s">
        <v>35</v>
      </c>
      <c r="J178" s="2" t="s">
        <v>205</v>
      </c>
      <c r="K178" s="2">
        <v>10</v>
      </c>
      <c r="L178" s="2">
        <v>499</v>
      </c>
      <c r="M178" s="2">
        <v>20</v>
      </c>
      <c r="N178" s="2">
        <v>3992</v>
      </c>
      <c r="O178" s="2">
        <v>577.27</v>
      </c>
      <c r="P178" s="2" t="s">
        <v>27</v>
      </c>
      <c r="Q178" s="2" t="s">
        <v>28</v>
      </c>
    </row>
    <row r="179" spans="1:17" x14ac:dyDescent="0.35">
      <c r="A179" s="3" t="s">
        <v>490</v>
      </c>
      <c r="B179" s="3" t="s">
        <v>491</v>
      </c>
      <c r="C179" s="3" t="s">
        <v>161</v>
      </c>
      <c r="D179" s="3" t="s">
        <v>20</v>
      </c>
      <c r="E179" s="3" t="s">
        <v>244</v>
      </c>
      <c r="F179" s="3" t="s">
        <v>22</v>
      </c>
      <c r="G179" s="3" t="s">
        <v>73</v>
      </c>
      <c r="H179" s="3" t="s">
        <v>74</v>
      </c>
      <c r="I179" s="3" t="s">
        <v>42</v>
      </c>
      <c r="J179" s="3" t="s">
        <v>187</v>
      </c>
      <c r="K179" s="3">
        <v>3</v>
      </c>
      <c r="L179" s="3">
        <v>350</v>
      </c>
      <c r="M179" s="3">
        <v>0</v>
      </c>
      <c r="N179" s="3">
        <v>1050</v>
      </c>
      <c r="O179" s="3">
        <v>357.44</v>
      </c>
      <c r="P179" s="3" t="s">
        <v>37</v>
      </c>
      <c r="Q179" s="3" t="s">
        <v>28</v>
      </c>
    </row>
    <row r="180" spans="1:17" x14ac:dyDescent="0.35">
      <c r="A180" s="2" t="s">
        <v>492</v>
      </c>
      <c r="B180" s="2" t="s">
        <v>213</v>
      </c>
      <c r="C180" s="2" t="s">
        <v>54</v>
      </c>
      <c r="D180" s="2" t="s">
        <v>20</v>
      </c>
      <c r="E180" s="2" t="s">
        <v>234</v>
      </c>
      <c r="F180" s="2" t="s">
        <v>33</v>
      </c>
      <c r="G180" s="2" t="s">
        <v>66</v>
      </c>
      <c r="H180" s="2" t="s">
        <v>98</v>
      </c>
      <c r="I180" s="2" t="s">
        <v>25</v>
      </c>
      <c r="J180" s="2" t="s">
        <v>62</v>
      </c>
      <c r="K180" s="2">
        <v>1</v>
      </c>
      <c r="L180" s="2">
        <v>3200</v>
      </c>
      <c r="M180" s="2">
        <v>0</v>
      </c>
      <c r="N180" s="2">
        <v>3200</v>
      </c>
      <c r="O180" s="2">
        <v>819.59</v>
      </c>
      <c r="P180" s="2" t="s">
        <v>27</v>
      </c>
      <c r="Q180" s="2" t="s">
        <v>82</v>
      </c>
    </row>
    <row r="181" spans="1:17" x14ac:dyDescent="0.35">
      <c r="A181" s="3" t="s">
        <v>493</v>
      </c>
      <c r="B181" s="3" t="s">
        <v>494</v>
      </c>
      <c r="C181" s="3" t="s">
        <v>256</v>
      </c>
      <c r="D181" s="3" t="s">
        <v>20</v>
      </c>
      <c r="E181" s="3" t="s">
        <v>385</v>
      </c>
      <c r="F181" s="3" t="s">
        <v>22</v>
      </c>
      <c r="G181" s="3" t="s">
        <v>66</v>
      </c>
      <c r="H181" s="3" t="s">
        <v>114</v>
      </c>
      <c r="I181" s="3" t="s">
        <v>42</v>
      </c>
      <c r="J181" s="3" t="s">
        <v>68</v>
      </c>
      <c r="K181" s="3">
        <v>3</v>
      </c>
      <c r="L181" s="3">
        <v>150</v>
      </c>
      <c r="M181" s="3">
        <v>10</v>
      </c>
      <c r="N181" s="3">
        <v>405</v>
      </c>
      <c r="O181" s="3">
        <v>128.27000000000001</v>
      </c>
      <c r="P181" s="3" t="s">
        <v>37</v>
      </c>
      <c r="Q181" s="3" t="s">
        <v>28</v>
      </c>
    </row>
    <row r="182" spans="1:17" x14ac:dyDescent="0.35">
      <c r="A182" s="2" t="s">
        <v>495</v>
      </c>
      <c r="B182" s="2" t="s">
        <v>496</v>
      </c>
      <c r="C182" s="2" t="s">
        <v>161</v>
      </c>
      <c r="D182" s="2" t="s">
        <v>20</v>
      </c>
      <c r="E182" s="2" t="s">
        <v>253</v>
      </c>
      <c r="F182" s="2" t="s">
        <v>56</v>
      </c>
      <c r="G182" s="2" t="s">
        <v>48</v>
      </c>
      <c r="H182" s="2" t="s">
        <v>49</v>
      </c>
      <c r="I182" s="2" t="s">
        <v>42</v>
      </c>
      <c r="J182" s="2" t="s">
        <v>184</v>
      </c>
      <c r="K182" s="2">
        <v>9</v>
      </c>
      <c r="L182" s="2">
        <v>120</v>
      </c>
      <c r="M182" s="2">
        <v>15</v>
      </c>
      <c r="N182" s="2">
        <v>918</v>
      </c>
      <c r="O182" s="2">
        <v>293.85000000000002</v>
      </c>
      <c r="P182" s="2" t="s">
        <v>37</v>
      </c>
      <c r="Q182" s="2" t="s">
        <v>28</v>
      </c>
    </row>
    <row r="183" spans="1:17" x14ac:dyDescent="0.35">
      <c r="A183" s="3" t="s">
        <v>497</v>
      </c>
      <c r="B183" s="3" t="s">
        <v>498</v>
      </c>
      <c r="C183" s="3" t="s">
        <v>134</v>
      </c>
      <c r="D183" s="3" t="s">
        <v>20</v>
      </c>
      <c r="E183" s="3" t="s">
        <v>499</v>
      </c>
      <c r="F183" s="3" t="s">
        <v>33</v>
      </c>
      <c r="G183" s="3" t="s">
        <v>48</v>
      </c>
      <c r="H183" s="3" t="s">
        <v>57</v>
      </c>
      <c r="I183" s="3" t="s">
        <v>42</v>
      </c>
      <c r="J183" s="3" t="s">
        <v>43</v>
      </c>
      <c r="K183" s="3">
        <v>3</v>
      </c>
      <c r="L183" s="3">
        <v>220</v>
      </c>
      <c r="M183" s="3">
        <v>0</v>
      </c>
      <c r="N183" s="3">
        <v>660</v>
      </c>
      <c r="O183" s="3">
        <v>184.07</v>
      </c>
      <c r="P183" s="3" t="s">
        <v>27</v>
      </c>
      <c r="Q183" s="3" t="s">
        <v>82</v>
      </c>
    </row>
    <row r="184" spans="1:17" x14ac:dyDescent="0.35">
      <c r="A184" s="2" t="s">
        <v>500</v>
      </c>
      <c r="B184" s="2" t="s">
        <v>501</v>
      </c>
      <c r="C184" s="2" t="s">
        <v>54</v>
      </c>
      <c r="D184" s="2" t="s">
        <v>20</v>
      </c>
      <c r="E184" s="2" t="s">
        <v>295</v>
      </c>
      <c r="F184" s="2" t="s">
        <v>56</v>
      </c>
      <c r="G184" s="2" t="s">
        <v>73</v>
      </c>
      <c r="H184" s="2" t="s">
        <v>211</v>
      </c>
      <c r="I184" s="2" t="s">
        <v>80</v>
      </c>
      <c r="J184" s="2" t="s">
        <v>240</v>
      </c>
      <c r="K184" s="2">
        <v>2</v>
      </c>
      <c r="L184" s="2">
        <v>600</v>
      </c>
      <c r="M184" s="2">
        <v>15</v>
      </c>
      <c r="N184" s="2">
        <v>1020</v>
      </c>
      <c r="O184" s="2">
        <v>265.91000000000003</v>
      </c>
      <c r="P184" s="2" t="s">
        <v>27</v>
      </c>
      <c r="Q184" s="2" t="s">
        <v>82</v>
      </c>
    </row>
    <row r="185" spans="1:17" x14ac:dyDescent="0.35">
      <c r="A185" s="3" t="s">
        <v>502</v>
      </c>
      <c r="B185" s="3" t="s">
        <v>367</v>
      </c>
      <c r="C185" s="3" t="s">
        <v>40</v>
      </c>
      <c r="D185" s="3" t="s">
        <v>20</v>
      </c>
      <c r="E185" s="3" t="s">
        <v>503</v>
      </c>
      <c r="F185" s="3" t="s">
        <v>56</v>
      </c>
      <c r="G185" s="3" t="s">
        <v>23</v>
      </c>
      <c r="H185" s="3" t="s">
        <v>194</v>
      </c>
      <c r="I185" s="3" t="s">
        <v>42</v>
      </c>
      <c r="J185" s="3" t="s">
        <v>149</v>
      </c>
      <c r="K185" s="3">
        <v>8</v>
      </c>
      <c r="L185" s="3">
        <v>180</v>
      </c>
      <c r="M185" s="3">
        <v>10</v>
      </c>
      <c r="N185" s="3">
        <v>1296</v>
      </c>
      <c r="O185" s="3">
        <v>437.52</v>
      </c>
      <c r="P185" s="3" t="s">
        <v>27</v>
      </c>
      <c r="Q185" s="3" t="s">
        <v>28</v>
      </c>
    </row>
    <row r="186" spans="1:17" x14ac:dyDescent="0.35">
      <c r="A186" s="2" t="s">
        <v>504</v>
      </c>
      <c r="B186" s="2" t="s">
        <v>505</v>
      </c>
      <c r="C186" s="2" t="s">
        <v>71</v>
      </c>
      <c r="D186" s="2" t="s">
        <v>20</v>
      </c>
      <c r="E186" s="2" t="s">
        <v>141</v>
      </c>
      <c r="F186" s="2" t="s">
        <v>22</v>
      </c>
      <c r="G186" s="2" t="s">
        <v>66</v>
      </c>
      <c r="H186" s="2" t="s">
        <v>114</v>
      </c>
      <c r="I186" s="2" t="s">
        <v>50</v>
      </c>
      <c r="J186" s="2" t="s">
        <v>51</v>
      </c>
      <c r="K186" s="2">
        <v>5</v>
      </c>
      <c r="L186" s="2">
        <v>32000</v>
      </c>
      <c r="M186" s="2">
        <v>5</v>
      </c>
      <c r="N186" s="2">
        <v>152000</v>
      </c>
      <c r="O186" s="2">
        <v>28798.3</v>
      </c>
      <c r="P186" s="2" t="s">
        <v>37</v>
      </c>
      <c r="Q186" s="2" t="s">
        <v>28</v>
      </c>
    </row>
    <row r="187" spans="1:17" x14ac:dyDescent="0.35">
      <c r="A187" s="3" t="s">
        <v>506</v>
      </c>
      <c r="B187" s="3" t="s">
        <v>327</v>
      </c>
      <c r="C187" s="3" t="s">
        <v>117</v>
      </c>
      <c r="D187" s="3" t="s">
        <v>20</v>
      </c>
      <c r="E187" s="3" t="s">
        <v>201</v>
      </c>
      <c r="F187" s="3" t="s">
        <v>56</v>
      </c>
      <c r="G187" s="3" t="s">
        <v>48</v>
      </c>
      <c r="H187" s="3" t="s">
        <v>49</v>
      </c>
      <c r="I187" s="3" t="s">
        <v>80</v>
      </c>
      <c r="J187" s="3" t="s">
        <v>119</v>
      </c>
      <c r="K187" s="3">
        <v>4</v>
      </c>
      <c r="L187" s="3">
        <v>800</v>
      </c>
      <c r="M187" s="3">
        <v>5</v>
      </c>
      <c r="N187" s="3">
        <v>3040</v>
      </c>
      <c r="O187" s="3">
        <v>635.69000000000005</v>
      </c>
      <c r="P187" s="3" t="s">
        <v>37</v>
      </c>
      <c r="Q187" s="3" t="s">
        <v>28</v>
      </c>
    </row>
    <row r="188" spans="1:17" x14ac:dyDescent="0.35">
      <c r="A188" s="2" t="s">
        <v>507</v>
      </c>
      <c r="B188" s="2" t="s">
        <v>485</v>
      </c>
      <c r="C188" s="2" t="s">
        <v>19</v>
      </c>
      <c r="D188" s="2" t="s">
        <v>20</v>
      </c>
      <c r="E188" s="2" t="s">
        <v>190</v>
      </c>
      <c r="F188" s="2" t="s">
        <v>33</v>
      </c>
      <c r="G188" s="2" t="s">
        <v>73</v>
      </c>
      <c r="H188" s="2" t="s">
        <v>105</v>
      </c>
      <c r="I188" s="2" t="s">
        <v>35</v>
      </c>
      <c r="J188" s="2" t="s">
        <v>36</v>
      </c>
      <c r="K188" s="2">
        <v>2</v>
      </c>
      <c r="L188" s="2">
        <v>1999</v>
      </c>
      <c r="M188" s="2">
        <v>20</v>
      </c>
      <c r="N188" s="2">
        <v>3198.4</v>
      </c>
      <c r="O188" s="2">
        <v>641.66999999999996</v>
      </c>
      <c r="P188" s="2" t="s">
        <v>37</v>
      </c>
      <c r="Q188" s="2" t="s">
        <v>28</v>
      </c>
    </row>
    <row r="189" spans="1:17" x14ac:dyDescent="0.35">
      <c r="A189" s="3" t="s">
        <v>508</v>
      </c>
      <c r="B189" s="3" t="s">
        <v>216</v>
      </c>
      <c r="C189" s="3" t="s">
        <v>54</v>
      </c>
      <c r="D189" s="3" t="s">
        <v>20</v>
      </c>
      <c r="E189" s="3" t="s">
        <v>509</v>
      </c>
      <c r="F189" s="3" t="s">
        <v>33</v>
      </c>
      <c r="G189" s="3" t="s">
        <v>66</v>
      </c>
      <c r="H189" s="3" t="s">
        <v>67</v>
      </c>
      <c r="I189" s="3" t="s">
        <v>35</v>
      </c>
      <c r="J189" s="3" t="s">
        <v>138</v>
      </c>
      <c r="K189" s="3">
        <v>9</v>
      </c>
      <c r="L189" s="3">
        <v>799</v>
      </c>
      <c r="M189" s="3">
        <v>15</v>
      </c>
      <c r="N189" s="3">
        <v>6112.35</v>
      </c>
      <c r="O189" s="3">
        <v>680.82</v>
      </c>
      <c r="P189" s="3" t="s">
        <v>37</v>
      </c>
      <c r="Q189" s="3" t="s">
        <v>28</v>
      </c>
    </row>
    <row r="190" spans="1:17" x14ac:dyDescent="0.35">
      <c r="A190" s="2" t="s">
        <v>510</v>
      </c>
      <c r="B190" s="2" t="s">
        <v>167</v>
      </c>
      <c r="C190" s="2" t="s">
        <v>78</v>
      </c>
      <c r="D190" s="2" t="s">
        <v>20</v>
      </c>
      <c r="E190" s="2" t="s">
        <v>104</v>
      </c>
      <c r="F190" s="2" t="s">
        <v>22</v>
      </c>
      <c r="G190" s="2" t="s">
        <v>23</v>
      </c>
      <c r="H190" s="2" t="s">
        <v>131</v>
      </c>
      <c r="I190" s="2" t="s">
        <v>35</v>
      </c>
      <c r="J190" s="2" t="s">
        <v>36</v>
      </c>
      <c r="K190" s="2">
        <v>7</v>
      </c>
      <c r="L190" s="2">
        <v>1999</v>
      </c>
      <c r="M190" s="2">
        <v>15</v>
      </c>
      <c r="N190" s="2">
        <v>11894.05</v>
      </c>
      <c r="O190" s="2">
        <v>2762.46</v>
      </c>
      <c r="P190" s="2" t="s">
        <v>37</v>
      </c>
      <c r="Q190" s="2" t="s">
        <v>28</v>
      </c>
    </row>
    <row r="191" spans="1:17" x14ac:dyDescent="0.35">
      <c r="A191" s="3" t="s">
        <v>511</v>
      </c>
      <c r="B191" s="3" t="s">
        <v>449</v>
      </c>
      <c r="C191" s="3" t="s">
        <v>40</v>
      </c>
      <c r="D191" s="3" t="s">
        <v>20</v>
      </c>
      <c r="E191" s="3" t="s">
        <v>512</v>
      </c>
      <c r="F191" s="3" t="s">
        <v>22</v>
      </c>
      <c r="G191" s="3" t="s">
        <v>73</v>
      </c>
      <c r="H191" s="3" t="s">
        <v>74</v>
      </c>
      <c r="I191" s="3" t="s">
        <v>50</v>
      </c>
      <c r="J191" s="3" t="s">
        <v>75</v>
      </c>
      <c r="K191" s="3">
        <v>10</v>
      </c>
      <c r="L191" s="3">
        <v>45000</v>
      </c>
      <c r="M191" s="3">
        <v>0</v>
      </c>
      <c r="N191" s="3">
        <v>450000</v>
      </c>
      <c r="O191" s="3">
        <v>41502.71</v>
      </c>
      <c r="P191" s="3" t="s">
        <v>27</v>
      </c>
      <c r="Q191" s="3" t="s">
        <v>82</v>
      </c>
    </row>
    <row r="192" spans="1:17" x14ac:dyDescent="0.35">
      <c r="A192" s="2" t="s">
        <v>513</v>
      </c>
      <c r="B192" s="2" t="s">
        <v>88</v>
      </c>
      <c r="C192" s="2" t="s">
        <v>31</v>
      </c>
      <c r="D192" s="2" t="s">
        <v>20</v>
      </c>
      <c r="E192" s="2" t="s">
        <v>41</v>
      </c>
      <c r="F192" s="2" t="s">
        <v>56</v>
      </c>
      <c r="G192" s="2" t="s">
        <v>23</v>
      </c>
      <c r="H192" s="2" t="s">
        <v>131</v>
      </c>
      <c r="I192" s="2" t="s">
        <v>50</v>
      </c>
      <c r="J192" s="2" t="s">
        <v>198</v>
      </c>
      <c r="K192" s="2">
        <v>7</v>
      </c>
      <c r="L192" s="2">
        <v>2500</v>
      </c>
      <c r="M192" s="2">
        <v>5</v>
      </c>
      <c r="N192" s="2">
        <v>16625</v>
      </c>
      <c r="O192" s="2">
        <v>4781.72</v>
      </c>
      <c r="P192" s="2" t="s">
        <v>37</v>
      </c>
      <c r="Q192" s="2" t="s">
        <v>28</v>
      </c>
    </row>
    <row r="193" spans="1:17" x14ac:dyDescent="0.35">
      <c r="A193" s="3" t="s">
        <v>514</v>
      </c>
      <c r="B193" s="3" t="s">
        <v>515</v>
      </c>
      <c r="C193" s="3" t="s">
        <v>78</v>
      </c>
      <c r="D193" s="3" t="s">
        <v>20</v>
      </c>
      <c r="E193" s="3" t="s">
        <v>165</v>
      </c>
      <c r="F193" s="3" t="s">
        <v>22</v>
      </c>
      <c r="G193" s="3" t="s">
        <v>73</v>
      </c>
      <c r="H193" s="3" t="s">
        <v>211</v>
      </c>
      <c r="I193" s="3" t="s">
        <v>50</v>
      </c>
      <c r="J193" s="3" t="s">
        <v>142</v>
      </c>
      <c r="K193" s="3">
        <v>3</v>
      </c>
      <c r="L193" s="3">
        <v>15000</v>
      </c>
      <c r="M193" s="3">
        <v>10</v>
      </c>
      <c r="N193" s="3">
        <v>40500</v>
      </c>
      <c r="O193" s="3">
        <v>4537.25</v>
      </c>
      <c r="P193" s="3" t="s">
        <v>37</v>
      </c>
      <c r="Q193" s="3" t="s">
        <v>28</v>
      </c>
    </row>
    <row r="194" spans="1:17" x14ac:dyDescent="0.35">
      <c r="A194" s="2" t="s">
        <v>516</v>
      </c>
      <c r="B194" s="2" t="s">
        <v>189</v>
      </c>
      <c r="C194" s="2" t="s">
        <v>46</v>
      </c>
      <c r="D194" s="2" t="s">
        <v>20</v>
      </c>
      <c r="E194" s="2" t="s">
        <v>72</v>
      </c>
      <c r="F194" s="2" t="s">
        <v>33</v>
      </c>
      <c r="G194" s="2" t="s">
        <v>66</v>
      </c>
      <c r="H194" s="2" t="s">
        <v>114</v>
      </c>
      <c r="I194" s="2" t="s">
        <v>50</v>
      </c>
      <c r="J194" s="2" t="s">
        <v>198</v>
      </c>
      <c r="K194" s="2">
        <v>8</v>
      </c>
      <c r="L194" s="2">
        <v>2500</v>
      </c>
      <c r="M194" s="2">
        <v>20</v>
      </c>
      <c r="N194" s="2">
        <v>16000</v>
      </c>
      <c r="O194" s="2">
        <v>3112.23</v>
      </c>
      <c r="P194" s="2" t="s">
        <v>27</v>
      </c>
      <c r="Q194" s="2" t="s">
        <v>28</v>
      </c>
    </row>
    <row r="195" spans="1:17" x14ac:dyDescent="0.35">
      <c r="A195" s="3" t="s">
        <v>517</v>
      </c>
      <c r="B195" s="3" t="s">
        <v>343</v>
      </c>
      <c r="C195" s="3" t="s">
        <v>256</v>
      </c>
      <c r="D195" s="3" t="s">
        <v>20</v>
      </c>
      <c r="E195" s="3" t="s">
        <v>85</v>
      </c>
      <c r="F195" s="3" t="s">
        <v>33</v>
      </c>
      <c r="G195" s="3" t="s">
        <v>48</v>
      </c>
      <c r="H195" s="3" t="s">
        <v>57</v>
      </c>
      <c r="I195" s="3" t="s">
        <v>50</v>
      </c>
      <c r="J195" s="3" t="s">
        <v>58</v>
      </c>
      <c r="K195" s="3">
        <v>7</v>
      </c>
      <c r="L195" s="3">
        <v>18000</v>
      </c>
      <c r="M195" s="3">
        <v>20</v>
      </c>
      <c r="N195" s="3">
        <v>100800</v>
      </c>
      <c r="O195" s="3">
        <v>28912.91</v>
      </c>
      <c r="P195" s="3" t="s">
        <v>27</v>
      </c>
      <c r="Q195" s="3" t="s">
        <v>28</v>
      </c>
    </row>
    <row r="196" spans="1:17" x14ac:dyDescent="0.35">
      <c r="A196" s="2" t="s">
        <v>518</v>
      </c>
      <c r="B196" s="2" t="s">
        <v>53</v>
      </c>
      <c r="C196" s="2" t="s">
        <v>54</v>
      </c>
      <c r="D196" s="2" t="s">
        <v>20</v>
      </c>
      <c r="E196" s="2" t="s">
        <v>405</v>
      </c>
      <c r="F196" s="2" t="s">
        <v>33</v>
      </c>
      <c r="G196" s="2" t="s">
        <v>23</v>
      </c>
      <c r="H196" s="2" t="s">
        <v>131</v>
      </c>
      <c r="I196" s="2" t="s">
        <v>80</v>
      </c>
      <c r="J196" s="2" t="s">
        <v>89</v>
      </c>
      <c r="K196" s="2">
        <v>4</v>
      </c>
      <c r="L196" s="2">
        <v>1500</v>
      </c>
      <c r="M196" s="2">
        <v>0</v>
      </c>
      <c r="N196" s="2">
        <v>6000</v>
      </c>
      <c r="O196" s="2">
        <v>1131.67</v>
      </c>
      <c r="P196" s="2" t="s">
        <v>27</v>
      </c>
      <c r="Q196" s="2" t="s">
        <v>28</v>
      </c>
    </row>
    <row r="197" spans="1:17" x14ac:dyDescent="0.35">
      <c r="A197" s="3" t="s">
        <v>519</v>
      </c>
      <c r="B197" s="3" t="s">
        <v>192</v>
      </c>
      <c r="C197" s="3" t="s">
        <v>40</v>
      </c>
      <c r="D197" s="3" t="s">
        <v>20</v>
      </c>
      <c r="E197" s="3" t="s">
        <v>520</v>
      </c>
      <c r="F197" s="3" t="s">
        <v>56</v>
      </c>
      <c r="G197" s="3" t="s">
        <v>48</v>
      </c>
      <c r="H197" s="3" t="s">
        <v>57</v>
      </c>
      <c r="I197" s="3" t="s">
        <v>80</v>
      </c>
      <c r="J197" s="3" t="s">
        <v>240</v>
      </c>
      <c r="K197" s="3">
        <v>10</v>
      </c>
      <c r="L197" s="3">
        <v>600</v>
      </c>
      <c r="M197" s="3">
        <v>20</v>
      </c>
      <c r="N197" s="3">
        <v>4800</v>
      </c>
      <c r="O197" s="3">
        <v>1385.21</v>
      </c>
      <c r="P197" s="3" t="s">
        <v>27</v>
      </c>
      <c r="Q197" s="3" t="s">
        <v>82</v>
      </c>
    </row>
    <row r="198" spans="1:17" x14ac:dyDescent="0.35">
      <c r="A198" s="2" t="s">
        <v>521</v>
      </c>
      <c r="B198" s="2" t="s">
        <v>522</v>
      </c>
      <c r="C198" s="2" t="s">
        <v>161</v>
      </c>
      <c r="D198" s="2" t="s">
        <v>20</v>
      </c>
      <c r="E198" s="2" t="s">
        <v>523</v>
      </c>
      <c r="F198" s="2" t="s">
        <v>22</v>
      </c>
      <c r="G198" s="2" t="s">
        <v>66</v>
      </c>
      <c r="H198" s="2" t="s">
        <v>86</v>
      </c>
      <c r="I198" s="2" t="s">
        <v>25</v>
      </c>
      <c r="J198" s="2" t="s">
        <v>62</v>
      </c>
      <c r="K198" s="2">
        <v>1</v>
      </c>
      <c r="L198" s="2">
        <v>3200</v>
      </c>
      <c r="M198" s="2">
        <v>20</v>
      </c>
      <c r="N198" s="2">
        <v>2560</v>
      </c>
      <c r="O198" s="2">
        <v>860.42</v>
      </c>
      <c r="P198" s="2" t="s">
        <v>37</v>
      </c>
      <c r="Q198" s="2" t="s">
        <v>28</v>
      </c>
    </row>
    <row r="199" spans="1:17" x14ac:dyDescent="0.35">
      <c r="A199" s="3" t="s">
        <v>524</v>
      </c>
      <c r="B199" s="3" t="s">
        <v>525</v>
      </c>
      <c r="C199" s="3" t="s">
        <v>46</v>
      </c>
      <c r="D199" s="3" t="s">
        <v>20</v>
      </c>
      <c r="E199" s="3" t="s">
        <v>244</v>
      </c>
      <c r="F199" s="3" t="s">
        <v>22</v>
      </c>
      <c r="G199" s="3" t="s">
        <v>48</v>
      </c>
      <c r="H199" s="3" t="s">
        <v>109</v>
      </c>
      <c r="I199" s="3" t="s">
        <v>80</v>
      </c>
      <c r="J199" s="3" t="s">
        <v>240</v>
      </c>
      <c r="K199" s="3">
        <v>7</v>
      </c>
      <c r="L199" s="3">
        <v>600</v>
      </c>
      <c r="M199" s="3">
        <v>15</v>
      </c>
      <c r="N199" s="3">
        <v>3570</v>
      </c>
      <c r="O199" s="3">
        <v>429.43</v>
      </c>
      <c r="P199" s="3" t="s">
        <v>27</v>
      </c>
      <c r="Q199" s="3" t="s">
        <v>28</v>
      </c>
    </row>
    <row r="200" spans="1:17" x14ac:dyDescent="0.35">
      <c r="A200" s="2" t="s">
        <v>526</v>
      </c>
      <c r="B200" s="2" t="s">
        <v>527</v>
      </c>
      <c r="C200" s="2" t="s">
        <v>117</v>
      </c>
      <c r="D200" s="2" t="s">
        <v>20</v>
      </c>
      <c r="E200" s="2" t="s">
        <v>125</v>
      </c>
      <c r="F200" s="2" t="s">
        <v>56</v>
      </c>
      <c r="G200" s="2" t="s">
        <v>66</v>
      </c>
      <c r="H200" s="2" t="s">
        <v>98</v>
      </c>
      <c r="I200" s="2" t="s">
        <v>35</v>
      </c>
      <c r="J200" s="2" t="s">
        <v>172</v>
      </c>
      <c r="K200" s="2">
        <v>1</v>
      </c>
      <c r="L200" s="2">
        <v>2499</v>
      </c>
      <c r="M200" s="2">
        <v>20</v>
      </c>
      <c r="N200" s="2">
        <v>1999.2</v>
      </c>
      <c r="O200" s="2">
        <v>382.69</v>
      </c>
      <c r="P200" s="2" t="s">
        <v>27</v>
      </c>
      <c r="Q200" s="2" t="s">
        <v>28</v>
      </c>
    </row>
    <row r="201" spans="1:17" x14ac:dyDescent="0.35">
      <c r="A201" s="3" t="s">
        <v>528</v>
      </c>
      <c r="B201" s="3" t="s">
        <v>529</v>
      </c>
      <c r="C201" s="3" t="s">
        <v>54</v>
      </c>
      <c r="D201" s="3" t="s">
        <v>20</v>
      </c>
      <c r="E201" s="3" t="s">
        <v>41</v>
      </c>
      <c r="F201" s="3" t="s">
        <v>56</v>
      </c>
      <c r="G201" s="3" t="s">
        <v>48</v>
      </c>
      <c r="H201" s="3" t="s">
        <v>169</v>
      </c>
      <c r="I201" s="3" t="s">
        <v>42</v>
      </c>
      <c r="J201" s="3" t="s">
        <v>43</v>
      </c>
      <c r="K201" s="3">
        <v>2</v>
      </c>
      <c r="L201" s="3">
        <v>220</v>
      </c>
      <c r="M201" s="3">
        <v>20</v>
      </c>
      <c r="N201" s="3">
        <v>352</v>
      </c>
      <c r="O201" s="3">
        <v>97.02</v>
      </c>
      <c r="P201" s="3" t="s">
        <v>27</v>
      </c>
      <c r="Q201" s="3" t="s">
        <v>28</v>
      </c>
    </row>
    <row r="202" spans="1:17" x14ac:dyDescent="0.35">
      <c r="A202" s="2" t="s">
        <v>530</v>
      </c>
      <c r="B202" s="2" t="s">
        <v>171</v>
      </c>
      <c r="C202" s="2" t="s">
        <v>40</v>
      </c>
      <c r="D202" s="2" t="s">
        <v>20</v>
      </c>
      <c r="E202" s="2" t="s">
        <v>337</v>
      </c>
      <c r="F202" s="2" t="s">
        <v>33</v>
      </c>
      <c r="G202" s="2" t="s">
        <v>23</v>
      </c>
      <c r="H202" s="2" t="s">
        <v>24</v>
      </c>
      <c r="I202" s="2" t="s">
        <v>35</v>
      </c>
      <c r="J202" s="2" t="s">
        <v>36</v>
      </c>
      <c r="K202" s="2">
        <v>9</v>
      </c>
      <c r="L202" s="2">
        <v>1999</v>
      </c>
      <c r="M202" s="2">
        <v>5</v>
      </c>
      <c r="N202" s="2">
        <v>17091.45</v>
      </c>
      <c r="O202" s="2">
        <v>3579.57</v>
      </c>
      <c r="P202" s="2" t="s">
        <v>37</v>
      </c>
      <c r="Q202" s="2" t="s">
        <v>82</v>
      </c>
    </row>
    <row r="203" spans="1:17" x14ac:dyDescent="0.35">
      <c r="A203" s="3" t="s">
        <v>531</v>
      </c>
      <c r="B203" s="3" t="s">
        <v>532</v>
      </c>
      <c r="C203" s="3" t="s">
        <v>78</v>
      </c>
      <c r="D203" s="3" t="s">
        <v>20</v>
      </c>
      <c r="E203" s="3" t="s">
        <v>41</v>
      </c>
      <c r="F203" s="3" t="s">
        <v>56</v>
      </c>
      <c r="G203" s="3" t="s">
        <v>23</v>
      </c>
      <c r="H203" s="3" t="s">
        <v>131</v>
      </c>
      <c r="I203" s="3" t="s">
        <v>35</v>
      </c>
      <c r="J203" s="3" t="s">
        <v>36</v>
      </c>
      <c r="K203" s="3">
        <v>4</v>
      </c>
      <c r="L203" s="3">
        <v>1999</v>
      </c>
      <c r="M203" s="3">
        <v>15</v>
      </c>
      <c r="N203" s="3">
        <v>6796.6</v>
      </c>
      <c r="O203" s="3">
        <v>2223.06</v>
      </c>
      <c r="P203" s="3" t="s">
        <v>37</v>
      </c>
      <c r="Q203" s="3" t="s">
        <v>28</v>
      </c>
    </row>
    <row r="204" spans="1:17" x14ac:dyDescent="0.35">
      <c r="A204" s="2" t="s">
        <v>533</v>
      </c>
      <c r="B204" s="2" t="s">
        <v>534</v>
      </c>
      <c r="C204" s="2" t="s">
        <v>117</v>
      </c>
      <c r="D204" s="2" t="s">
        <v>20</v>
      </c>
      <c r="E204" s="2" t="s">
        <v>152</v>
      </c>
      <c r="F204" s="2" t="s">
        <v>33</v>
      </c>
      <c r="G204" s="2" t="s">
        <v>48</v>
      </c>
      <c r="H204" s="2" t="s">
        <v>49</v>
      </c>
      <c r="I204" s="2" t="s">
        <v>25</v>
      </c>
      <c r="J204" s="2" t="s">
        <v>62</v>
      </c>
      <c r="K204" s="2">
        <v>9</v>
      </c>
      <c r="L204" s="2">
        <v>3200</v>
      </c>
      <c r="M204" s="2">
        <v>15</v>
      </c>
      <c r="N204" s="2">
        <v>24480</v>
      </c>
      <c r="O204" s="2">
        <v>5038.5</v>
      </c>
      <c r="P204" s="2" t="s">
        <v>37</v>
      </c>
      <c r="Q204" s="2" t="s">
        <v>28</v>
      </c>
    </row>
    <row r="205" spans="1:17" x14ac:dyDescent="0.35">
      <c r="A205" s="3" t="s">
        <v>535</v>
      </c>
      <c r="B205" s="3" t="s">
        <v>536</v>
      </c>
      <c r="C205" s="3" t="s">
        <v>78</v>
      </c>
      <c r="D205" s="3" t="s">
        <v>20</v>
      </c>
      <c r="E205" s="3" t="s">
        <v>214</v>
      </c>
      <c r="F205" s="3" t="s">
        <v>56</v>
      </c>
      <c r="G205" s="3" t="s">
        <v>23</v>
      </c>
      <c r="H205" s="3" t="s">
        <v>34</v>
      </c>
      <c r="I205" s="3" t="s">
        <v>35</v>
      </c>
      <c r="J205" s="3" t="s">
        <v>205</v>
      </c>
      <c r="K205" s="3">
        <v>5</v>
      </c>
      <c r="L205" s="3">
        <v>499</v>
      </c>
      <c r="M205" s="3">
        <v>20</v>
      </c>
      <c r="N205" s="3">
        <v>1996</v>
      </c>
      <c r="O205" s="3">
        <v>663.44</v>
      </c>
      <c r="P205" s="3" t="s">
        <v>37</v>
      </c>
      <c r="Q205" s="3" t="s">
        <v>28</v>
      </c>
    </row>
    <row r="206" spans="1:17" x14ac:dyDescent="0.35">
      <c r="A206" s="2" t="s">
        <v>537</v>
      </c>
      <c r="B206" s="2" t="s">
        <v>420</v>
      </c>
      <c r="C206" s="2" t="s">
        <v>19</v>
      </c>
      <c r="D206" s="2" t="s">
        <v>20</v>
      </c>
      <c r="E206" s="2" t="s">
        <v>368</v>
      </c>
      <c r="F206" s="2" t="s">
        <v>56</v>
      </c>
      <c r="G206" s="2" t="s">
        <v>66</v>
      </c>
      <c r="H206" s="2" t="s">
        <v>86</v>
      </c>
      <c r="I206" s="2" t="s">
        <v>80</v>
      </c>
      <c r="J206" s="2" t="s">
        <v>119</v>
      </c>
      <c r="K206" s="2">
        <v>8</v>
      </c>
      <c r="L206" s="2">
        <v>800</v>
      </c>
      <c r="M206" s="2">
        <v>20</v>
      </c>
      <c r="N206" s="2">
        <v>5120</v>
      </c>
      <c r="O206" s="2">
        <v>1314.53</v>
      </c>
      <c r="P206" s="2" t="s">
        <v>37</v>
      </c>
      <c r="Q206" s="2" t="s">
        <v>28</v>
      </c>
    </row>
    <row r="207" spans="1:17" x14ac:dyDescent="0.35">
      <c r="A207" s="3" t="s">
        <v>538</v>
      </c>
      <c r="B207" s="3" t="s">
        <v>96</v>
      </c>
      <c r="C207" s="3" t="s">
        <v>71</v>
      </c>
      <c r="D207" s="3" t="s">
        <v>20</v>
      </c>
      <c r="E207" s="3" t="s">
        <v>390</v>
      </c>
      <c r="F207" s="3" t="s">
        <v>22</v>
      </c>
      <c r="G207" s="3" t="s">
        <v>73</v>
      </c>
      <c r="H207" s="3" t="s">
        <v>211</v>
      </c>
      <c r="I207" s="3" t="s">
        <v>35</v>
      </c>
      <c r="J207" s="3" t="s">
        <v>138</v>
      </c>
      <c r="K207" s="3">
        <v>3</v>
      </c>
      <c r="L207" s="3">
        <v>799</v>
      </c>
      <c r="M207" s="3">
        <v>5</v>
      </c>
      <c r="N207" s="3">
        <v>2277.15</v>
      </c>
      <c r="O207" s="3">
        <v>625.04</v>
      </c>
      <c r="P207" s="3" t="s">
        <v>27</v>
      </c>
      <c r="Q207" s="3" t="s">
        <v>82</v>
      </c>
    </row>
    <row r="208" spans="1:17" x14ac:dyDescent="0.35">
      <c r="A208" s="2" t="s">
        <v>539</v>
      </c>
      <c r="B208" s="2" t="s">
        <v>213</v>
      </c>
      <c r="C208" s="2" t="s">
        <v>54</v>
      </c>
      <c r="D208" s="2" t="s">
        <v>20</v>
      </c>
      <c r="E208" s="2" t="s">
        <v>214</v>
      </c>
      <c r="F208" s="2" t="s">
        <v>22</v>
      </c>
      <c r="G208" s="2" t="s">
        <v>23</v>
      </c>
      <c r="H208" s="2" t="s">
        <v>24</v>
      </c>
      <c r="I208" s="2" t="s">
        <v>50</v>
      </c>
      <c r="J208" s="2" t="s">
        <v>58</v>
      </c>
      <c r="K208" s="2">
        <v>7</v>
      </c>
      <c r="L208" s="2">
        <v>18000</v>
      </c>
      <c r="M208" s="2">
        <v>5</v>
      </c>
      <c r="N208" s="2">
        <v>119700</v>
      </c>
      <c r="O208" s="2">
        <v>36806.199999999997</v>
      </c>
      <c r="P208" s="2" t="s">
        <v>27</v>
      </c>
      <c r="Q208" s="2" t="s">
        <v>28</v>
      </c>
    </row>
    <row r="209" spans="1:17" x14ac:dyDescent="0.35">
      <c r="A209" s="3" t="s">
        <v>540</v>
      </c>
      <c r="B209" s="3" t="s">
        <v>343</v>
      </c>
      <c r="C209" s="3" t="s">
        <v>256</v>
      </c>
      <c r="D209" s="3" t="s">
        <v>20</v>
      </c>
      <c r="E209" s="3" t="s">
        <v>108</v>
      </c>
      <c r="F209" s="3" t="s">
        <v>22</v>
      </c>
      <c r="G209" s="3" t="s">
        <v>73</v>
      </c>
      <c r="H209" s="3" t="s">
        <v>74</v>
      </c>
      <c r="I209" s="3" t="s">
        <v>50</v>
      </c>
      <c r="J209" s="3" t="s">
        <v>142</v>
      </c>
      <c r="K209" s="3">
        <v>10</v>
      </c>
      <c r="L209" s="3">
        <v>15000</v>
      </c>
      <c r="M209" s="3">
        <v>15</v>
      </c>
      <c r="N209" s="3">
        <v>127500</v>
      </c>
      <c r="O209" s="3">
        <v>32895.86</v>
      </c>
      <c r="P209" s="3" t="s">
        <v>27</v>
      </c>
      <c r="Q209" s="3" t="s">
        <v>28</v>
      </c>
    </row>
    <row r="210" spans="1:17" x14ac:dyDescent="0.35">
      <c r="A210" s="2" t="s">
        <v>541</v>
      </c>
      <c r="B210" s="2" t="s">
        <v>542</v>
      </c>
      <c r="C210" s="2" t="s">
        <v>19</v>
      </c>
      <c r="D210" s="2" t="s">
        <v>20</v>
      </c>
      <c r="E210" s="2" t="s">
        <v>229</v>
      </c>
      <c r="F210" s="2" t="s">
        <v>33</v>
      </c>
      <c r="G210" s="2" t="s">
        <v>23</v>
      </c>
      <c r="H210" s="2" t="s">
        <v>194</v>
      </c>
      <c r="I210" s="2" t="s">
        <v>80</v>
      </c>
      <c r="J210" s="2" t="s">
        <v>240</v>
      </c>
      <c r="K210" s="2">
        <v>1</v>
      </c>
      <c r="L210" s="2">
        <v>600</v>
      </c>
      <c r="M210" s="2">
        <v>20</v>
      </c>
      <c r="N210" s="2">
        <v>480</v>
      </c>
      <c r="O210" s="2">
        <v>143.79</v>
      </c>
      <c r="P210" s="2" t="s">
        <v>37</v>
      </c>
      <c r="Q210" s="2" t="s">
        <v>82</v>
      </c>
    </row>
    <row r="211" spans="1:17" x14ac:dyDescent="0.35">
      <c r="A211" s="3" t="s">
        <v>543</v>
      </c>
      <c r="B211" s="3" t="s">
        <v>544</v>
      </c>
      <c r="C211" s="3" t="s">
        <v>134</v>
      </c>
      <c r="D211" s="3" t="s">
        <v>20</v>
      </c>
      <c r="E211" s="3" t="s">
        <v>152</v>
      </c>
      <c r="F211" s="3" t="s">
        <v>33</v>
      </c>
      <c r="G211" s="3" t="s">
        <v>66</v>
      </c>
      <c r="H211" s="3" t="s">
        <v>67</v>
      </c>
      <c r="I211" s="3" t="s">
        <v>35</v>
      </c>
      <c r="J211" s="3" t="s">
        <v>36</v>
      </c>
      <c r="K211" s="3">
        <v>9</v>
      </c>
      <c r="L211" s="3">
        <v>1999</v>
      </c>
      <c r="M211" s="3">
        <v>10</v>
      </c>
      <c r="N211" s="3">
        <v>16191.9</v>
      </c>
      <c r="O211" s="3">
        <v>4859.32</v>
      </c>
      <c r="P211" s="3" t="s">
        <v>37</v>
      </c>
      <c r="Q211" s="3" t="s">
        <v>82</v>
      </c>
    </row>
    <row r="212" spans="1:17" x14ac:dyDescent="0.35">
      <c r="A212" s="2" t="s">
        <v>545</v>
      </c>
      <c r="B212" s="2" t="s">
        <v>189</v>
      </c>
      <c r="C212" s="2" t="s">
        <v>46</v>
      </c>
      <c r="D212" s="2" t="s">
        <v>20</v>
      </c>
      <c r="E212" s="2" t="s">
        <v>244</v>
      </c>
      <c r="F212" s="2" t="s">
        <v>22</v>
      </c>
      <c r="G212" s="2" t="s">
        <v>73</v>
      </c>
      <c r="H212" s="2" t="s">
        <v>105</v>
      </c>
      <c r="I212" s="2" t="s">
        <v>35</v>
      </c>
      <c r="J212" s="2" t="s">
        <v>138</v>
      </c>
      <c r="K212" s="2">
        <v>2</v>
      </c>
      <c r="L212" s="2">
        <v>799</v>
      </c>
      <c r="M212" s="2">
        <v>0</v>
      </c>
      <c r="N212" s="2">
        <v>1598</v>
      </c>
      <c r="O212" s="2">
        <v>168.18</v>
      </c>
      <c r="P212" s="2" t="s">
        <v>37</v>
      </c>
      <c r="Q212" s="2" t="s">
        <v>28</v>
      </c>
    </row>
    <row r="213" spans="1:17" x14ac:dyDescent="0.35">
      <c r="A213" s="3" t="s">
        <v>546</v>
      </c>
      <c r="B213" s="3" t="s">
        <v>547</v>
      </c>
      <c r="C213" s="3" t="s">
        <v>129</v>
      </c>
      <c r="D213" s="3" t="s">
        <v>20</v>
      </c>
      <c r="E213" s="3" t="s">
        <v>337</v>
      </c>
      <c r="F213" s="3" t="s">
        <v>33</v>
      </c>
      <c r="G213" s="3" t="s">
        <v>23</v>
      </c>
      <c r="H213" s="3" t="s">
        <v>34</v>
      </c>
      <c r="I213" s="3" t="s">
        <v>50</v>
      </c>
      <c r="J213" s="3" t="s">
        <v>51</v>
      </c>
      <c r="K213" s="3">
        <v>7</v>
      </c>
      <c r="L213" s="3">
        <v>32000</v>
      </c>
      <c r="M213" s="3">
        <v>10</v>
      </c>
      <c r="N213" s="3">
        <v>201600</v>
      </c>
      <c r="O213" s="3">
        <v>46928.71</v>
      </c>
      <c r="P213" s="3" t="s">
        <v>27</v>
      </c>
      <c r="Q213" s="3" t="s">
        <v>82</v>
      </c>
    </row>
    <row r="214" spans="1:17" x14ac:dyDescent="0.35">
      <c r="A214" s="2" t="s">
        <v>548</v>
      </c>
      <c r="B214" s="2" t="s">
        <v>549</v>
      </c>
      <c r="C214" s="2" t="s">
        <v>256</v>
      </c>
      <c r="D214" s="2" t="s">
        <v>20</v>
      </c>
      <c r="E214" s="2" t="s">
        <v>550</v>
      </c>
      <c r="F214" s="2" t="s">
        <v>56</v>
      </c>
      <c r="G214" s="2" t="s">
        <v>73</v>
      </c>
      <c r="H214" s="2" t="s">
        <v>74</v>
      </c>
      <c r="I214" s="2" t="s">
        <v>50</v>
      </c>
      <c r="J214" s="2" t="s">
        <v>58</v>
      </c>
      <c r="K214" s="2">
        <v>5</v>
      </c>
      <c r="L214" s="2">
        <v>18000</v>
      </c>
      <c r="M214" s="2">
        <v>20</v>
      </c>
      <c r="N214" s="2">
        <v>72000</v>
      </c>
      <c r="O214" s="2">
        <v>16714.63</v>
      </c>
      <c r="P214" s="2" t="s">
        <v>27</v>
      </c>
      <c r="Q214" s="2" t="s">
        <v>82</v>
      </c>
    </row>
    <row r="215" spans="1:17" x14ac:dyDescent="0.35">
      <c r="A215" s="3" t="s">
        <v>551</v>
      </c>
      <c r="B215" s="3" t="s">
        <v>552</v>
      </c>
      <c r="C215" s="3" t="s">
        <v>46</v>
      </c>
      <c r="D215" s="3" t="s">
        <v>20</v>
      </c>
      <c r="E215" s="3" t="s">
        <v>379</v>
      </c>
      <c r="F215" s="3" t="s">
        <v>56</v>
      </c>
      <c r="G215" s="3" t="s">
        <v>66</v>
      </c>
      <c r="H215" s="3" t="s">
        <v>86</v>
      </c>
      <c r="I215" s="3" t="s">
        <v>50</v>
      </c>
      <c r="J215" s="3" t="s">
        <v>198</v>
      </c>
      <c r="K215" s="3">
        <v>3</v>
      </c>
      <c r="L215" s="3">
        <v>2500</v>
      </c>
      <c r="M215" s="3">
        <v>20</v>
      </c>
      <c r="N215" s="3">
        <v>6000</v>
      </c>
      <c r="O215" s="3">
        <v>869.56</v>
      </c>
      <c r="P215" s="3" t="s">
        <v>37</v>
      </c>
      <c r="Q215" s="3" t="s">
        <v>28</v>
      </c>
    </row>
    <row r="216" spans="1:17" x14ac:dyDescent="0.35">
      <c r="A216" s="2" t="s">
        <v>553</v>
      </c>
      <c r="B216" s="2" t="s">
        <v>259</v>
      </c>
      <c r="C216" s="2" t="s">
        <v>40</v>
      </c>
      <c r="D216" s="2" t="s">
        <v>20</v>
      </c>
      <c r="E216" s="2" t="s">
        <v>554</v>
      </c>
      <c r="F216" s="2" t="s">
        <v>56</v>
      </c>
      <c r="G216" s="2" t="s">
        <v>23</v>
      </c>
      <c r="H216" s="2" t="s">
        <v>194</v>
      </c>
      <c r="I216" s="2" t="s">
        <v>50</v>
      </c>
      <c r="J216" s="2" t="s">
        <v>58</v>
      </c>
      <c r="K216" s="2">
        <v>7</v>
      </c>
      <c r="L216" s="2">
        <v>18000</v>
      </c>
      <c r="M216" s="2">
        <v>5</v>
      </c>
      <c r="N216" s="2">
        <v>119700</v>
      </c>
      <c r="O216" s="2">
        <v>36681.129999999997</v>
      </c>
      <c r="P216" s="2" t="s">
        <v>37</v>
      </c>
      <c r="Q216" s="2" t="s">
        <v>28</v>
      </c>
    </row>
    <row r="217" spans="1:17" x14ac:dyDescent="0.35">
      <c r="A217" s="3" t="s">
        <v>555</v>
      </c>
      <c r="B217" s="3" t="s">
        <v>84</v>
      </c>
      <c r="C217" s="3" t="s">
        <v>19</v>
      </c>
      <c r="D217" s="3" t="s">
        <v>20</v>
      </c>
      <c r="E217" s="3" t="s">
        <v>101</v>
      </c>
      <c r="F217" s="3" t="s">
        <v>33</v>
      </c>
      <c r="G217" s="3" t="s">
        <v>73</v>
      </c>
      <c r="H217" s="3" t="s">
        <v>211</v>
      </c>
      <c r="I217" s="3" t="s">
        <v>35</v>
      </c>
      <c r="J217" s="3" t="s">
        <v>138</v>
      </c>
      <c r="K217" s="3">
        <v>9</v>
      </c>
      <c r="L217" s="3">
        <v>799</v>
      </c>
      <c r="M217" s="3">
        <v>15</v>
      </c>
      <c r="N217" s="3">
        <v>6112.35</v>
      </c>
      <c r="O217" s="3">
        <v>1201.68</v>
      </c>
      <c r="P217" s="3" t="s">
        <v>37</v>
      </c>
      <c r="Q217" s="3" t="s">
        <v>28</v>
      </c>
    </row>
    <row r="218" spans="1:17" x14ac:dyDescent="0.35">
      <c r="A218" s="2" t="s">
        <v>556</v>
      </c>
      <c r="B218" s="2" t="s">
        <v>557</v>
      </c>
      <c r="C218" s="2" t="s">
        <v>31</v>
      </c>
      <c r="D218" s="2" t="s">
        <v>20</v>
      </c>
      <c r="E218" s="2" t="s">
        <v>558</v>
      </c>
      <c r="F218" s="2" t="s">
        <v>22</v>
      </c>
      <c r="G218" s="2" t="s">
        <v>66</v>
      </c>
      <c r="H218" s="2" t="s">
        <v>114</v>
      </c>
      <c r="I218" s="2" t="s">
        <v>50</v>
      </c>
      <c r="J218" s="2" t="s">
        <v>198</v>
      </c>
      <c r="K218" s="2">
        <v>3</v>
      </c>
      <c r="L218" s="2">
        <v>2500</v>
      </c>
      <c r="M218" s="2">
        <v>15</v>
      </c>
      <c r="N218" s="2">
        <v>6375</v>
      </c>
      <c r="O218" s="2">
        <v>1734.97</v>
      </c>
      <c r="P218" s="2" t="s">
        <v>27</v>
      </c>
      <c r="Q218" s="2" t="s">
        <v>28</v>
      </c>
    </row>
    <row r="219" spans="1:17" x14ac:dyDescent="0.35">
      <c r="A219" s="3" t="s">
        <v>559</v>
      </c>
      <c r="B219" s="3" t="s">
        <v>429</v>
      </c>
      <c r="C219" s="3" t="s">
        <v>129</v>
      </c>
      <c r="D219" s="3" t="s">
        <v>20</v>
      </c>
      <c r="E219" s="3" t="s">
        <v>560</v>
      </c>
      <c r="F219" s="3" t="s">
        <v>33</v>
      </c>
      <c r="G219" s="3" t="s">
        <v>23</v>
      </c>
      <c r="H219" s="3" t="s">
        <v>24</v>
      </c>
      <c r="I219" s="3" t="s">
        <v>50</v>
      </c>
      <c r="J219" s="3" t="s">
        <v>198</v>
      </c>
      <c r="K219" s="3">
        <v>8</v>
      </c>
      <c r="L219" s="3">
        <v>2500</v>
      </c>
      <c r="M219" s="3">
        <v>10</v>
      </c>
      <c r="N219" s="3">
        <v>18000</v>
      </c>
      <c r="O219" s="3">
        <v>5140.1400000000003</v>
      </c>
      <c r="P219" s="3" t="s">
        <v>27</v>
      </c>
      <c r="Q219" s="3" t="s">
        <v>28</v>
      </c>
    </row>
    <row r="220" spans="1:17" x14ac:dyDescent="0.35">
      <c r="A220" s="2" t="s">
        <v>561</v>
      </c>
      <c r="B220" s="2" t="s">
        <v>275</v>
      </c>
      <c r="C220" s="2" t="s">
        <v>31</v>
      </c>
      <c r="D220" s="2" t="s">
        <v>20</v>
      </c>
      <c r="E220" s="2" t="s">
        <v>562</v>
      </c>
      <c r="F220" s="2" t="s">
        <v>56</v>
      </c>
      <c r="G220" s="2" t="s">
        <v>73</v>
      </c>
      <c r="H220" s="2" t="s">
        <v>93</v>
      </c>
      <c r="I220" s="2" t="s">
        <v>50</v>
      </c>
      <c r="J220" s="2" t="s">
        <v>58</v>
      </c>
      <c r="K220" s="2">
        <v>6</v>
      </c>
      <c r="L220" s="2">
        <v>18000</v>
      </c>
      <c r="M220" s="2">
        <v>20</v>
      </c>
      <c r="N220" s="2">
        <v>86400</v>
      </c>
      <c r="O220" s="2">
        <v>9083</v>
      </c>
      <c r="P220" s="2" t="s">
        <v>37</v>
      </c>
      <c r="Q220" s="2" t="s">
        <v>28</v>
      </c>
    </row>
    <row r="221" spans="1:17" x14ac:dyDescent="0.35">
      <c r="A221" s="3" t="s">
        <v>563</v>
      </c>
      <c r="B221" s="3" t="s">
        <v>189</v>
      </c>
      <c r="C221" s="3" t="s">
        <v>46</v>
      </c>
      <c r="D221" s="3" t="s">
        <v>20</v>
      </c>
      <c r="E221" s="3" t="s">
        <v>408</v>
      </c>
      <c r="F221" s="3" t="s">
        <v>33</v>
      </c>
      <c r="G221" s="3" t="s">
        <v>73</v>
      </c>
      <c r="H221" s="3" t="s">
        <v>93</v>
      </c>
      <c r="I221" s="3" t="s">
        <v>80</v>
      </c>
      <c r="J221" s="3" t="s">
        <v>119</v>
      </c>
      <c r="K221" s="3">
        <v>10</v>
      </c>
      <c r="L221" s="3">
        <v>800</v>
      </c>
      <c r="M221" s="3">
        <v>20</v>
      </c>
      <c r="N221" s="3">
        <v>6400</v>
      </c>
      <c r="O221" s="3">
        <v>805.04</v>
      </c>
      <c r="P221" s="3" t="s">
        <v>27</v>
      </c>
      <c r="Q221" s="3" t="s">
        <v>28</v>
      </c>
    </row>
    <row r="222" spans="1:17" x14ac:dyDescent="0.35">
      <c r="A222" s="2" t="s">
        <v>564</v>
      </c>
      <c r="B222" s="2" t="s">
        <v>457</v>
      </c>
      <c r="C222" s="2" t="s">
        <v>71</v>
      </c>
      <c r="D222" s="2" t="s">
        <v>20</v>
      </c>
      <c r="E222" s="2" t="s">
        <v>260</v>
      </c>
      <c r="F222" s="2" t="s">
        <v>56</v>
      </c>
      <c r="G222" s="2" t="s">
        <v>73</v>
      </c>
      <c r="H222" s="2" t="s">
        <v>105</v>
      </c>
      <c r="I222" s="2" t="s">
        <v>50</v>
      </c>
      <c r="J222" s="2" t="s">
        <v>75</v>
      </c>
      <c r="K222" s="2">
        <v>7</v>
      </c>
      <c r="L222" s="2">
        <v>45000</v>
      </c>
      <c r="M222" s="2">
        <v>10</v>
      </c>
      <c r="N222" s="2">
        <v>283500</v>
      </c>
      <c r="O222" s="2">
        <v>54913.279999999999</v>
      </c>
      <c r="P222" s="2" t="s">
        <v>27</v>
      </c>
      <c r="Q222" s="2" t="s">
        <v>82</v>
      </c>
    </row>
    <row r="223" spans="1:17" x14ac:dyDescent="0.35">
      <c r="A223" s="3" t="s">
        <v>565</v>
      </c>
      <c r="B223" s="3" t="s">
        <v>566</v>
      </c>
      <c r="C223" s="3" t="s">
        <v>46</v>
      </c>
      <c r="D223" s="3" t="s">
        <v>20</v>
      </c>
      <c r="E223" s="3" t="s">
        <v>41</v>
      </c>
      <c r="F223" s="3" t="s">
        <v>22</v>
      </c>
      <c r="G223" s="3" t="s">
        <v>73</v>
      </c>
      <c r="H223" s="3" t="s">
        <v>105</v>
      </c>
      <c r="I223" s="3" t="s">
        <v>42</v>
      </c>
      <c r="J223" s="3" t="s">
        <v>187</v>
      </c>
      <c r="K223" s="3">
        <v>3</v>
      </c>
      <c r="L223" s="3">
        <v>350</v>
      </c>
      <c r="M223" s="3">
        <v>10</v>
      </c>
      <c r="N223" s="3">
        <v>945</v>
      </c>
      <c r="O223" s="3">
        <v>77.33</v>
      </c>
      <c r="P223" s="3" t="s">
        <v>37</v>
      </c>
      <c r="Q223" s="3" t="s">
        <v>28</v>
      </c>
    </row>
    <row r="224" spans="1:17" x14ac:dyDescent="0.35">
      <c r="A224" s="2" t="s">
        <v>567</v>
      </c>
      <c r="B224" s="2" t="s">
        <v>568</v>
      </c>
      <c r="C224" s="2" t="s">
        <v>31</v>
      </c>
      <c r="D224" s="2" t="s">
        <v>20</v>
      </c>
      <c r="E224" s="2" t="s">
        <v>137</v>
      </c>
      <c r="F224" s="2" t="s">
        <v>56</v>
      </c>
      <c r="G224" s="2" t="s">
        <v>48</v>
      </c>
      <c r="H224" s="2" t="s">
        <v>109</v>
      </c>
      <c r="I224" s="2" t="s">
        <v>25</v>
      </c>
      <c r="J224" s="2" t="s">
        <v>237</v>
      </c>
      <c r="K224" s="2">
        <v>10</v>
      </c>
      <c r="L224" s="2">
        <v>22000</v>
      </c>
      <c r="M224" s="2">
        <v>5</v>
      </c>
      <c r="N224" s="2">
        <v>209000</v>
      </c>
      <c r="O224" s="2">
        <v>33673.56</v>
      </c>
      <c r="P224" s="2" t="s">
        <v>27</v>
      </c>
      <c r="Q224" s="2" t="s">
        <v>28</v>
      </c>
    </row>
    <row r="225" spans="1:17" x14ac:dyDescent="0.35">
      <c r="A225" s="3" t="s">
        <v>569</v>
      </c>
      <c r="B225" s="3" t="s">
        <v>570</v>
      </c>
      <c r="C225" s="3" t="s">
        <v>134</v>
      </c>
      <c r="D225" s="3" t="s">
        <v>20</v>
      </c>
      <c r="E225" s="3" t="s">
        <v>226</v>
      </c>
      <c r="F225" s="3" t="s">
        <v>56</v>
      </c>
      <c r="G225" s="3" t="s">
        <v>73</v>
      </c>
      <c r="H225" s="3" t="s">
        <v>74</v>
      </c>
      <c r="I225" s="3" t="s">
        <v>25</v>
      </c>
      <c r="J225" s="3" t="s">
        <v>237</v>
      </c>
      <c r="K225" s="3">
        <v>10</v>
      </c>
      <c r="L225" s="3">
        <v>22000</v>
      </c>
      <c r="M225" s="3">
        <v>5</v>
      </c>
      <c r="N225" s="3">
        <v>209000</v>
      </c>
      <c r="O225" s="3">
        <v>35109.760000000002</v>
      </c>
      <c r="P225" s="3" t="s">
        <v>37</v>
      </c>
      <c r="Q225" s="3" t="s">
        <v>82</v>
      </c>
    </row>
    <row r="226" spans="1:17" x14ac:dyDescent="0.35">
      <c r="A226" s="2" t="s">
        <v>571</v>
      </c>
      <c r="B226" s="2" t="s">
        <v>572</v>
      </c>
      <c r="C226" s="2" t="s">
        <v>134</v>
      </c>
      <c r="D226" s="2" t="s">
        <v>20</v>
      </c>
      <c r="E226" s="2" t="s">
        <v>325</v>
      </c>
      <c r="F226" s="2" t="s">
        <v>56</v>
      </c>
      <c r="G226" s="2" t="s">
        <v>66</v>
      </c>
      <c r="H226" s="2" t="s">
        <v>67</v>
      </c>
      <c r="I226" s="2" t="s">
        <v>80</v>
      </c>
      <c r="J226" s="2" t="s">
        <v>89</v>
      </c>
      <c r="K226" s="2">
        <v>8</v>
      </c>
      <c r="L226" s="2">
        <v>1500</v>
      </c>
      <c r="M226" s="2">
        <v>5</v>
      </c>
      <c r="N226" s="2">
        <v>11400</v>
      </c>
      <c r="O226" s="2">
        <v>2261.56</v>
      </c>
      <c r="P226" s="2" t="s">
        <v>27</v>
      </c>
      <c r="Q226" s="2" t="s">
        <v>28</v>
      </c>
    </row>
    <row r="227" spans="1:17" x14ac:dyDescent="0.35">
      <c r="A227" s="3" t="s">
        <v>573</v>
      </c>
      <c r="B227" s="3" t="s">
        <v>275</v>
      </c>
      <c r="C227" s="3" t="s">
        <v>31</v>
      </c>
      <c r="D227" s="3" t="s">
        <v>20</v>
      </c>
      <c r="E227" s="3" t="s">
        <v>122</v>
      </c>
      <c r="F227" s="3" t="s">
        <v>22</v>
      </c>
      <c r="G227" s="3" t="s">
        <v>48</v>
      </c>
      <c r="H227" s="3" t="s">
        <v>57</v>
      </c>
      <c r="I227" s="3" t="s">
        <v>25</v>
      </c>
      <c r="J227" s="3" t="s">
        <v>26</v>
      </c>
      <c r="K227" s="3">
        <v>7</v>
      </c>
      <c r="L227" s="3">
        <v>5500</v>
      </c>
      <c r="M227" s="3">
        <v>15</v>
      </c>
      <c r="N227" s="3">
        <v>32725</v>
      </c>
      <c r="O227" s="3">
        <v>3271.54</v>
      </c>
      <c r="P227" s="3" t="s">
        <v>37</v>
      </c>
      <c r="Q227" s="3" t="s">
        <v>28</v>
      </c>
    </row>
    <row r="228" spans="1:17" x14ac:dyDescent="0.35">
      <c r="A228" s="2" t="s">
        <v>574</v>
      </c>
      <c r="B228" s="2" t="s">
        <v>575</v>
      </c>
      <c r="C228" s="2" t="s">
        <v>134</v>
      </c>
      <c r="D228" s="2" t="s">
        <v>20</v>
      </c>
      <c r="E228" s="2" t="s">
        <v>390</v>
      </c>
      <c r="F228" s="2" t="s">
        <v>33</v>
      </c>
      <c r="G228" s="2" t="s">
        <v>73</v>
      </c>
      <c r="H228" s="2" t="s">
        <v>93</v>
      </c>
      <c r="I228" s="2" t="s">
        <v>25</v>
      </c>
      <c r="J228" s="2" t="s">
        <v>94</v>
      </c>
      <c r="K228" s="2">
        <v>10</v>
      </c>
      <c r="L228" s="2">
        <v>18000</v>
      </c>
      <c r="M228" s="2">
        <v>0</v>
      </c>
      <c r="N228" s="2">
        <v>180000</v>
      </c>
      <c r="O228" s="2">
        <v>19715.349999999999</v>
      </c>
      <c r="P228" s="2" t="s">
        <v>37</v>
      </c>
      <c r="Q228" s="2" t="s">
        <v>28</v>
      </c>
    </row>
    <row r="229" spans="1:17" x14ac:dyDescent="0.35">
      <c r="A229" s="3" t="s">
        <v>576</v>
      </c>
      <c r="B229" s="3" t="s">
        <v>577</v>
      </c>
      <c r="C229" s="3" t="s">
        <v>71</v>
      </c>
      <c r="D229" s="3" t="s">
        <v>20</v>
      </c>
      <c r="E229" s="3" t="s">
        <v>152</v>
      </c>
      <c r="F229" s="3" t="s">
        <v>56</v>
      </c>
      <c r="G229" s="3" t="s">
        <v>73</v>
      </c>
      <c r="H229" s="3" t="s">
        <v>74</v>
      </c>
      <c r="I229" s="3" t="s">
        <v>42</v>
      </c>
      <c r="J229" s="3" t="s">
        <v>187</v>
      </c>
      <c r="K229" s="3">
        <v>1</v>
      </c>
      <c r="L229" s="3">
        <v>350</v>
      </c>
      <c r="M229" s="3">
        <v>0</v>
      </c>
      <c r="N229" s="3">
        <v>350</v>
      </c>
      <c r="O229" s="3">
        <v>52.45</v>
      </c>
      <c r="P229" s="3" t="s">
        <v>27</v>
      </c>
      <c r="Q229" s="3" t="s">
        <v>28</v>
      </c>
    </row>
    <row r="230" spans="1:17" x14ac:dyDescent="0.35">
      <c r="A230" s="2" t="s">
        <v>578</v>
      </c>
      <c r="B230" s="2" t="s">
        <v>395</v>
      </c>
      <c r="C230" s="2" t="s">
        <v>129</v>
      </c>
      <c r="D230" s="2" t="s">
        <v>20</v>
      </c>
      <c r="E230" s="2" t="s">
        <v>520</v>
      </c>
      <c r="F230" s="2" t="s">
        <v>22</v>
      </c>
      <c r="G230" s="2" t="s">
        <v>66</v>
      </c>
      <c r="H230" s="2" t="s">
        <v>98</v>
      </c>
      <c r="I230" s="2" t="s">
        <v>50</v>
      </c>
      <c r="J230" s="2" t="s">
        <v>51</v>
      </c>
      <c r="K230" s="2">
        <v>2</v>
      </c>
      <c r="L230" s="2">
        <v>32000</v>
      </c>
      <c r="M230" s="2">
        <v>10</v>
      </c>
      <c r="N230" s="2">
        <v>57600</v>
      </c>
      <c r="O230" s="2">
        <v>11077.25</v>
      </c>
      <c r="P230" s="2" t="s">
        <v>27</v>
      </c>
      <c r="Q230" s="2" t="s">
        <v>28</v>
      </c>
    </row>
    <row r="231" spans="1:17" x14ac:dyDescent="0.35">
      <c r="A231" s="3" t="s">
        <v>579</v>
      </c>
      <c r="B231" s="3" t="s">
        <v>580</v>
      </c>
      <c r="C231" s="3" t="s">
        <v>117</v>
      </c>
      <c r="D231" s="3" t="s">
        <v>20</v>
      </c>
      <c r="E231" s="3" t="s">
        <v>85</v>
      </c>
      <c r="F231" s="3" t="s">
        <v>56</v>
      </c>
      <c r="G231" s="3" t="s">
        <v>48</v>
      </c>
      <c r="H231" s="3" t="s">
        <v>109</v>
      </c>
      <c r="I231" s="3" t="s">
        <v>35</v>
      </c>
      <c r="J231" s="3" t="s">
        <v>36</v>
      </c>
      <c r="K231" s="3">
        <v>8</v>
      </c>
      <c r="L231" s="3">
        <v>1999</v>
      </c>
      <c r="M231" s="3">
        <v>10</v>
      </c>
      <c r="N231" s="3">
        <v>14392.8</v>
      </c>
      <c r="O231" s="3">
        <v>3001.82</v>
      </c>
      <c r="P231" s="3" t="s">
        <v>37</v>
      </c>
      <c r="Q231" s="3" t="s">
        <v>28</v>
      </c>
    </row>
    <row r="232" spans="1:17" x14ac:dyDescent="0.35">
      <c r="A232" s="2" t="s">
        <v>581</v>
      </c>
      <c r="B232" s="2" t="s">
        <v>532</v>
      </c>
      <c r="C232" s="2" t="s">
        <v>78</v>
      </c>
      <c r="D232" s="2" t="s">
        <v>20</v>
      </c>
      <c r="E232" s="2" t="s">
        <v>204</v>
      </c>
      <c r="F232" s="2" t="s">
        <v>56</v>
      </c>
      <c r="G232" s="2" t="s">
        <v>23</v>
      </c>
      <c r="H232" s="2" t="s">
        <v>24</v>
      </c>
      <c r="I232" s="2" t="s">
        <v>25</v>
      </c>
      <c r="J232" s="2" t="s">
        <v>257</v>
      </c>
      <c r="K232" s="2">
        <v>3</v>
      </c>
      <c r="L232" s="2">
        <v>8500</v>
      </c>
      <c r="M232" s="2">
        <v>5</v>
      </c>
      <c r="N232" s="2">
        <v>24225</v>
      </c>
      <c r="O232" s="2">
        <v>5312.99</v>
      </c>
      <c r="P232" s="2" t="s">
        <v>27</v>
      </c>
      <c r="Q232" s="2" t="s">
        <v>28</v>
      </c>
    </row>
    <row r="233" spans="1:17" x14ac:dyDescent="0.35">
      <c r="A233" s="3" t="s">
        <v>582</v>
      </c>
      <c r="B233" s="3" t="s">
        <v>583</v>
      </c>
      <c r="C233" s="3" t="s">
        <v>31</v>
      </c>
      <c r="D233" s="3" t="s">
        <v>20</v>
      </c>
      <c r="E233" s="3" t="s">
        <v>221</v>
      </c>
      <c r="F233" s="3" t="s">
        <v>56</v>
      </c>
      <c r="G233" s="3" t="s">
        <v>73</v>
      </c>
      <c r="H233" s="3" t="s">
        <v>105</v>
      </c>
      <c r="I233" s="3" t="s">
        <v>42</v>
      </c>
      <c r="J233" s="3" t="s">
        <v>149</v>
      </c>
      <c r="K233" s="3">
        <v>3</v>
      </c>
      <c r="L233" s="3">
        <v>180</v>
      </c>
      <c r="M233" s="3">
        <v>15</v>
      </c>
      <c r="N233" s="3">
        <v>459</v>
      </c>
      <c r="O233" s="3">
        <v>85.74</v>
      </c>
      <c r="P233" s="3" t="s">
        <v>27</v>
      </c>
      <c r="Q233" s="3" t="s">
        <v>28</v>
      </c>
    </row>
    <row r="234" spans="1:17" x14ac:dyDescent="0.35">
      <c r="A234" s="2" t="s">
        <v>584</v>
      </c>
      <c r="B234" s="2" t="s">
        <v>585</v>
      </c>
      <c r="C234" s="2" t="s">
        <v>78</v>
      </c>
      <c r="D234" s="2" t="s">
        <v>20</v>
      </c>
      <c r="E234" s="2" t="s">
        <v>295</v>
      </c>
      <c r="F234" s="2" t="s">
        <v>56</v>
      </c>
      <c r="G234" s="2" t="s">
        <v>23</v>
      </c>
      <c r="H234" s="2" t="s">
        <v>34</v>
      </c>
      <c r="I234" s="2" t="s">
        <v>35</v>
      </c>
      <c r="J234" s="2" t="s">
        <v>138</v>
      </c>
      <c r="K234" s="2">
        <v>2</v>
      </c>
      <c r="L234" s="2">
        <v>799</v>
      </c>
      <c r="M234" s="2">
        <v>20</v>
      </c>
      <c r="N234" s="2">
        <v>1278.4000000000001</v>
      </c>
      <c r="O234" s="2">
        <v>137.38999999999999</v>
      </c>
      <c r="P234" s="2" t="s">
        <v>27</v>
      </c>
      <c r="Q234" s="2" t="s">
        <v>28</v>
      </c>
    </row>
    <row r="235" spans="1:17" x14ac:dyDescent="0.35">
      <c r="A235" s="3" t="s">
        <v>586</v>
      </c>
      <c r="B235" s="3" t="s">
        <v>587</v>
      </c>
      <c r="C235" s="3" t="s">
        <v>46</v>
      </c>
      <c r="D235" s="3" t="s">
        <v>20</v>
      </c>
      <c r="E235" s="3" t="s">
        <v>588</v>
      </c>
      <c r="F235" s="3" t="s">
        <v>56</v>
      </c>
      <c r="G235" s="3" t="s">
        <v>23</v>
      </c>
      <c r="H235" s="3" t="s">
        <v>194</v>
      </c>
      <c r="I235" s="3" t="s">
        <v>42</v>
      </c>
      <c r="J235" s="3" t="s">
        <v>184</v>
      </c>
      <c r="K235" s="3">
        <v>6</v>
      </c>
      <c r="L235" s="3">
        <v>120</v>
      </c>
      <c r="M235" s="3">
        <v>20</v>
      </c>
      <c r="N235" s="3">
        <v>576</v>
      </c>
      <c r="O235" s="3">
        <v>106.52</v>
      </c>
      <c r="P235" s="3" t="s">
        <v>27</v>
      </c>
      <c r="Q235" s="3" t="s">
        <v>28</v>
      </c>
    </row>
    <row r="236" spans="1:17" x14ac:dyDescent="0.35">
      <c r="A236" s="2" t="s">
        <v>589</v>
      </c>
      <c r="B236" s="2" t="s">
        <v>209</v>
      </c>
      <c r="C236" s="2" t="s">
        <v>134</v>
      </c>
      <c r="D236" s="2" t="s">
        <v>20</v>
      </c>
      <c r="E236" s="2" t="s">
        <v>560</v>
      </c>
      <c r="F236" s="2" t="s">
        <v>33</v>
      </c>
      <c r="G236" s="2" t="s">
        <v>66</v>
      </c>
      <c r="H236" s="2" t="s">
        <v>98</v>
      </c>
      <c r="I236" s="2" t="s">
        <v>80</v>
      </c>
      <c r="J236" s="2" t="s">
        <v>81</v>
      </c>
      <c r="K236" s="2">
        <v>2</v>
      </c>
      <c r="L236" s="2">
        <v>950</v>
      </c>
      <c r="M236" s="2">
        <v>5</v>
      </c>
      <c r="N236" s="2">
        <v>1805</v>
      </c>
      <c r="O236" s="2">
        <v>297.02999999999997</v>
      </c>
      <c r="P236" s="2" t="s">
        <v>37</v>
      </c>
      <c r="Q236" s="2" t="s">
        <v>28</v>
      </c>
    </row>
    <row r="237" spans="1:17" x14ac:dyDescent="0.35">
      <c r="A237" s="3" t="s">
        <v>590</v>
      </c>
      <c r="B237" s="3" t="s">
        <v>591</v>
      </c>
      <c r="C237" s="3" t="s">
        <v>54</v>
      </c>
      <c r="D237" s="3" t="s">
        <v>20</v>
      </c>
      <c r="E237" s="3" t="s">
        <v>178</v>
      </c>
      <c r="F237" s="3" t="s">
        <v>22</v>
      </c>
      <c r="G237" s="3" t="s">
        <v>66</v>
      </c>
      <c r="H237" s="3" t="s">
        <v>86</v>
      </c>
      <c r="I237" s="3" t="s">
        <v>42</v>
      </c>
      <c r="J237" s="3" t="s">
        <v>184</v>
      </c>
      <c r="K237" s="3">
        <v>3</v>
      </c>
      <c r="L237" s="3">
        <v>120</v>
      </c>
      <c r="M237" s="3">
        <v>20</v>
      </c>
      <c r="N237" s="3">
        <v>288</v>
      </c>
      <c r="O237" s="3">
        <v>52.88</v>
      </c>
      <c r="P237" s="3" t="s">
        <v>37</v>
      </c>
      <c r="Q237" s="3" t="s">
        <v>28</v>
      </c>
    </row>
    <row r="238" spans="1:17" x14ac:dyDescent="0.35">
      <c r="A238" s="2" t="s">
        <v>592</v>
      </c>
      <c r="B238" s="2" t="s">
        <v>435</v>
      </c>
      <c r="C238" s="2" t="s">
        <v>117</v>
      </c>
      <c r="D238" s="2" t="s">
        <v>20</v>
      </c>
      <c r="E238" s="2" t="s">
        <v>562</v>
      </c>
      <c r="F238" s="2" t="s">
        <v>56</v>
      </c>
      <c r="G238" s="2" t="s">
        <v>66</v>
      </c>
      <c r="H238" s="2" t="s">
        <v>67</v>
      </c>
      <c r="I238" s="2" t="s">
        <v>42</v>
      </c>
      <c r="J238" s="2" t="s">
        <v>43</v>
      </c>
      <c r="K238" s="2">
        <v>3</v>
      </c>
      <c r="L238" s="2">
        <v>220</v>
      </c>
      <c r="M238" s="2">
        <v>5</v>
      </c>
      <c r="N238" s="2">
        <v>627</v>
      </c>
      <c r="O238" s="2">
        <v>103.42</v>
      </c>
      <c r="P238" s="2" t="s">
        <v>27</v>
      </c>
      <c r="Q238" s="2" t="s">
        <v>28</v>
      </c>
    </row>
    <row r="239" spans="1:17" x14ac:dyDescent="0.35">
      <c r="A239" s="3" t="s">
        <v>593</v>
      </c>
      <c r="B239" s="3" t="s">
        <v>410</v>
      </c>
      <c r="C239" s="3" t="s">
        <v>46</v>
      </c>
      <c r="D239" s="3" t="s">
        <v>20</v>
      </c>
      <c r="E239" s="3" t="s">
        <v>594</v>
      </c>
      <c r="F239" s="3" t="s">
        <v>56</v>
      </c>
      <c r="G239" s="3" t="s">
        <v>66</v>
      </c>
      <c r="H239" s="3" t="s">
        <v>86</v>
      </c>
      <c r="I239" s="3" t="s">
        <v>80</v>
      </c>
      <c r="J239" s="3" t="s">
        <v>81</v>
      </c>
      <c r="K239" s="3">
        <v>8</v>
      </c>
      <c r="L239" s="3">
        <v>950</v>
      </c>
      <c r="M239" s="3">
        <v>15</v>
      </c>
      <c r="N239" s="3">
        <v>6460</v>
      </c>
      <c r="O239" s="3">
        <v>1711.05</v>
      </c>
      <c r="P239" s="3" t="s">
        <v>37</v>
      </c>
      <c r="Q239" s="3" t="s">
        <v>28</v>
      </c>
    </row>
    <row r="240" spans="1:17" x14ac:dyDescent="0.35">
      <c r="A240" s="2" t="s">
        <v>595</v>
      </c>
      <c r="B240" s="2" t="s">
        <v>596</v>
      </c>
      <c r="C240" s="2" t="s">
        <v>161</v>
      </c>
      <c r="D240" s="2" t="s">
        <v>20</v>
      </c>
      <c r="E240" s="2" t="s">
        <v>168</v>
      </c>
      <c r="F240" s="2" t="s">
        <v>22</v>
      </c>
      <c r="G240" s="2" t="s">
        <v>23</v>
      </c>
      <c r="H240" s="2" t="s">
        <v>34</v>
      </c>
      <c r="I240" s="2" t="s">
        <v>25</v>
      </c>
      <c r="J240" s="2" t="s">
        <v>257</v>
      </c>
      <c r="K240" s="2">
        <v>5</v>
      </c>
      <c r="L240" s="2">
        <v>8500</v>
      </c>
      <c r="M240" s="2">
        <v>5</v>
      </c>
      <c r="N240" s="2">
        <v>40375</v>
      </c>
      <c r="O240" s="2">
        <v>9090.61</v>
      </c>
      <c r="P240" s="2" t="s">
        <v>37</v>
      </c>
      <c r="Q240" s="2" t="s">
        <v>28</v>
      </c>
    </row>
    <row r="241" spans="1:17" x14ac:dyDescent="0.35">
      <c r="A241" s="3" t="s">
        <v>597</v>
      </c>
      <c r="B241" s="3" t="s">
        <v>598</v>
      </c>
      <c r="C241" s="3" t="s">
        <v>46</v>
      </c>
      <c r="D241" s="3" t="s">
        <v>20</v>
      </c>
      <c r="E241" s="3" t="s">
        <v>193</v>
      </c>
      <c r="F241" s="3" t="s">
        <v>22</v>
      </c>
      <c r="G241" s="3" t="s">
        <v>73</v>
      </c>
      <c r="H241" s="3" t="s">
        <v>93</v>
      </c>
      <c r="I241" s="3" t="s">
        <v>80</v>
      </c>
      <c r="J241" s="3" t="s">
        <v>89</v>
      </c>
      <c r="K241" s="3">
        <v>5</v>
      </c>
      <c r="L241" s="3">
        <v>1500</v>
      </c>
      <c r="M241" s="3">
        <v>20</v>
      </c>
      <c r="N241" s="3">
        <v>6000</v>
      </c>
      <c r="O241" s="3">
        <v>1813.72</v>
      </c>
      <c r="P241" s="3" t="s">
        <v>27</v>
      </c>
      <c r="Q241" s="3" t="s">
        <v>28</v>
      </c>
    </row>
    <row r="242" spans="1:17" x14ac:dyDescent="0.35">
      <c r="A242" s="2" t="s">
        <v>599</v>
      </c>
      <c r="B242" s="2" t="s">
        <v>239</v>
      </c>
      <c r="C242" s="2" t="s">
        <v>129</v>
      </c>
      <c r="D242" s="2" t="s">
        <v>20</v>
      </c>
      <c r="E242" s="2" t="s">
        <v>319</v>
      </c>
      <c r="F242" s="2" t="s">
        <v>33</v>
      </c>
      <c r="G242" s="2" t="s">
        <v>73</v>
      </c>
      <c r="H242" s="2" t="s">
        <v>93</v>
      </c>
      <c r="I242" s="2" t="s">
        <v>35</v>
      </c>
      <c r="J242" s="2" t="s">
        <v>138</v>
      </c>
      <c r="K242" s="2">
        <v>1</v>
      </c>
      <c r="L242" s="2">
        <v>799</v>
      </c>
      <c r="M242" s="2">
        <v>15</v>
      </c>
      <c r="N242" s="2">
        <v>679.15</v>
      </c>
      <c r="O242" s="2">
        <v>102.52</v>
      </c>
      <c r="P242" s="2" t="s">
        <v>37</v>
      </c>
      <c r="Q242" s="2" t="s">
        <v>28</v>
      </c>
    </row>
    <row r="243" spans="1:17" x14ac:dyDescent="0.35">
      <c r="A243" s="3" t="s">
        <v>600</v>
      </c>
      <c r="B243" s="3" t="s">
        <v>216</v>
      </c>
      <c r="C243" s="3" t="s">
        <v>54</v>
      </c>
      <c r="D243" s="3" t="s">
        <v>20</v>
      </c>
      <c r="E243" s="3" t="s">
        <v>190</v>
      </c>
      <c r="F243" s="3" t="s">
        <v>33</v>
      </c>
      <c r="G243" s="3" t="s">
        <v>66</v>
      </c>
      <c r="H243" s="3" t="s">
        <v>98</v>
      </c>
      <c r="I243" s="3" t="s">
        <v>80</v>
      </c>
      <c r="J243" s="3" t="s">
        <v>110</v>
      </c>
      <c r="K243" s="3">
        <v>3</v>
      </c>
      <c r="L243" s="3">
        <v>1200</v>
      </c>
      <c r="M243" s="3">
        <v>20</v>
      </c>
      <c r="N243" s="3">
        <v>2880</v>
      </c>
      <c r="O243" s="3">
        <v>338.67</v>
      </c>
      <c r="P243" s="3" t="s">
        <v>27</v>
      </c>
      <c r="Q243" s="3" t="s">
        <v>28</v>
      </c>
    </row>
    <row r="244" spans="1:17" x14ac:dyDescent="0.35">
      <c r="A244" s="2" t="s">
        <v>601</v>
      </c>
      <c r="B244" s="2" t="s">
        <v>602</v>
      </c>
      <c r="C244" s="2" t="s">
        <v>71</v>
      </c>
      <c r="D244" s="2" t="s">
        <v>20</v>
      </c>
      <c r="E244" s="2" t="s">
        <v>379</v>
      </c>
      <c r="F244" s="2" t="s">
        <v>33</v>
      </c>
      <c r="G244" s="2" t="s">
        <v>48</v>
      </c>
      <c r="H244" s="2" t="s">
        <v>57</v>
      </c>
      <c r="I244" s="2" t="s">
        <v>25</v>
      </c>
      <c r="J244" s="2" t="s">
        <v>62</v>
      </c>
      <c r="K244" s="2">
        <v>5</v>
      </c>
      <c r="L244" s="2">
        <v>3200</v>
      </c>
      <c r="M244" s="2">
        <v>20</v>
      </c>
      <c r="N244" s="2">
        <v>12800</v>
      </c>
      <c r="O244" s="2">
        <v>1947.94</v>
      </c>
      <c r="P244" s="2" t="s">
        <v>27</v>
      </c>
      <c r="Q244" s="2" t="s">
        <v>28</v>
      </c>
    </row>
    <row r="245" spans="1:17" x14ac:dyDescent="0.35">
      <c r="A245" s="3" t="s">
        <v>603</v>
      </c>
      <c r="B245" s="3" t="s">
        <v>604</v>
      </c>
      <c r="C245" s="3" t="s">
        <v>134</v>
      </c>
      <c r="D245" s="3" t="s">
        <v>20</v>
      </c>
      <c r="E245" s="3" t="s">
        <v>520</v>
      </c>
      <c r="F245" s="3" t="s">
        <v>56</v>
      </c>
      <c r="G245" s="3" t="s">
        <v>23</v>
      </c>
      <c r="H245" s="3" t="s">
        <v>194</v>
      </c>
      <c r="I245" s="3" t="s">
        <v>35</v>
      </c>
      <c r="J245" s="3" t="s">
        <v>126</v>
      </c>
      <c r="K245" s="3">
        <v>4</v>
      </c>
      <c r="L245" s="3">
        <v>1299</v>
      </c>
      <c r="M245" s="3">
        <v>5</v>
      </c>
      <c r="N245" s="3">
        <v>4936.2</v>
      </c>
      <c r="O245" s="3">
        <v>1343.02</v>
      </c>
      <c r="P245" s="3" t="s">
        <v>37</v>
      </c>
      <c r="Q245" s="3" t="s">
        <v>28</v>
      </c>
    </row>
    <row r="246" spans="1:17" x14ac:dyDescent="0.35">
      <c r="A246" s="2" t="s">
        <v>605</v>
      </c>
      <c r="B246" s="2" t="s">
        <v>606</v>
      </c>
      <c r="C246" s="2" t="s">
        <v>134</v>
      </c>
      <c r="D246" s="2" t="s">
        <v>20</v>
      </c>
      <c r="E246" s="2" t="s">
        <v>158</v>
      </c>
      <c r="F246" s="2" t="s">
        <v>56</v>
      </c>
      <c r="G246" s="2" t="s">
        <v>48</v>
      </c>
      <c r="H246" s="2" t="s">
        <v>109</v>
      </c>
      <c r="I246" s="2" t="s">
        <v>42</v>
      </c>
      <c r="J246" s="2" t="s">
        <v>68</v>
      </c>
      <c r="K246" s="2">
        <v>2</v>
      </c>
      <c r="L246" s="2">
        <v>150</v>
      </c>
      <c r="M246" s="2">
        <v>0</v>
      </c>
      <c r="N246" s="2">
        <v>300</v>
      </c>
      <c r="O246" s="2">
        <v>56.63</v>
      </c>
      <c r="P246" s="2" t="s">
        <v>37</v>
      </c>
      <c r="Q246" s="2" t="s">
        <v>28</v>
      </c>
    </row>
    <row r="247" spans="1:17" x14ac:dyDescent="0.35">
      <c r="A247" s="3" t="s">
        <v>607</v>
      </c>
      <c r="B247" s="3" t="s">
        <v>358</v>
      </c>
      <c r="C247" s="3" t="s">
        <v>117</v>
      </c>
      <c r="D247" s="3" t="s">
        <v>20</v>
      </c>
      <c r="E247" s="3" t="s">
        <v>408</v>
      </c>
      <c r="F247" s="3" t="s">
        <v>56</v>
      </c>
      <c r="G247" s="3" t="s">
        <v>23</v>
      </c>
      <c r="H247" s="3" t="s">
        <v>24</v>
      </c>
      <c r="I247" s="3" t="s">
        <v>42</v>
      </c>
      <c r="J247" s="3" t="s">
        <v>43</v>
      </c>
      <c r="K247" s="3">
        <v>2</v>
      </c>
      <c r="L247" s="3">
        <v>220</v>
      </c>
      <c r="M247" s="3">
        <v>20</v>
      </c>
      <c r="N247" s="3">
        <v>352</v>
      </c>
      <c r="O247" s="3">
        <v>65.959999999999994</v>
      </c>
      <c r="P247" s="3" t="s">
        <v>27</v>
      </c>
      <c r="Q247" s="3" t="s">
        <v>28</v>
      </c>
    </row>
    <row r="248" spans="1:17" x14ac:dyDescent="0.35">
      <c r="A248" s="2" t="s">
        <v>608</v>
      </c>
      <c r="B248" s="2" t="s">
        <v>609</v>
      </c>
      <c r="C248" s="2" t="s">
        <v>40</v>
      </c>
      <c r="D248" s="2" t="s">
        <v>20</v>
      </c>
      <c r="E248" s="2" t="s">
        <v>118</v>
      </c>
      <c r="F248" s="2" t="s">
        <v>33</v>
      </c>
      <c r="G248" s="2" t="s">
        <v>48</v>
      </c>
      <c r="H248" s="2" t="s">
        <v>49</v>
      </c>
      <c r="I248" s="2" t="s">
        <v>80</v>
      </c>
      <c r="J248" s="2" t="s">
        <v>81</v>
      </c>
      <c r="K248" s="2">
        <v>3</v>
      </c>
      <c r="L248" s="2">
        <v>950</v>
      </c>
      <c r="M248" s="2">
        <v>20</v>
      </c>
      <c r="N248" s="2">
        <v>2280</v>
      </c>
      <c r="O248" s="2">
        <v>707.15</v>
      </c>
      <c r="P248" s="2" t="s">
        <v>27</v>
      </c>
      <c r="Q248" s="2" t="s">
        <v>28</v>
      </c>
    </row>
    <row r="249" spans="1:17" x14ac:dyDescent="0.35">
      <c r="A249" s="3" t="s">
        <v>610</v>
      </c>
      <c r="B249" s="3" t="s">
        <v>358</v>
      </c>
      <c r="C249" s="3" t="s">
        <v>117</v>
      </c>
      <c r="D249" s="3" t="s">
        <v>20</v>
      </c>
      <c r="E249" s="3" t="s">
        <v>165</v>
      </c>
      <c r="F249" s="3" t="s">
        <v>22</v>
      </c>
      <c r="G249" s="3" t="s">
        <v>73</v>
      </c>
      <c r="H249" s="3" t="s">
        <v>93</v>
      </c>
      <c r="I249" s="3" t="s">
        <v>50</v>
      </c>
      <c r="J249" s="3" t="s">
        <v>75</v>
      </c>
      <c r="K249" s="3">
        <v>8</v>
      </c>
      <c r="L249" s="3">
        <v>45000</v>
      </c>
      <c r="M249" s="3">
        <v>15</v>
      </c>
      <c r="N249" s="3">
        <v>306000</v>
      </c>
      <c r="O249" s="3">
        <v>24535.85</v>
      </c>
      <c r="P249" s="3" t="s">
        <v>27</v>
      </c>
      <c r="Q249" s="3" t="s">
        <v>82</v>
      </c>
    </row>
    <row r="250" spans="1:17" x14ac:dyDescent="0.35">
      <c r="A250" s="2" t="s">
        <v>611</v>
      </c>
      <c r="B250" s="2" t="s">
        <v>612</v>
      </c>
      <c r="C250" s="2" t="s">
        <v>19</v>
      </c>
      <c r="D250" s="2" t="s">
        <v>20</v>
      </c>
      <c r="E250" s="2" t="s">
        <v>474</v>
      </c>
      <c r="F250" s="2" t="s">
        <v>33</v>
      </c>
      <c r="G250" s="2" t="s">
        <v>48</v>
      </c>
      <c r="H250" s="2" t="s">
        <v>57</v>
      </c>
      <c r="I250" s="2" t="s">
        <v>25</v>
      </c>
      <c r="J250" s="2" t="s">
        <v>257</v>
      </c>
      <c r="K250" s="2">
        <v>6</v>
      </c>
      <c r="L250" s="2">
        <v>8500</v>
      </c>
      <c r="M250" s="2">
        <v>10</v>
      </c>
      <c r="N250" s="2">
        <v>45900</v>
      </c>
      <c r="O250" s="2">
        <v>4693.4399999999996</v>
      </c>
      <c r="P250" s="2" t="s">
        <v>27</v>
      </c>
      <c r="Q250" s="2" t="s">
        <v>28</v>
      </c>
    </row>
    <row r="251" spans="1:17" x14ac:dyDescent="0.35">
      <c r="A251" s="3" t="s">
        <v>613</v>
      </c>
      <c r="B251" s="3" t="s">
        <v>322</v>
      </c>
      <c r="C251" s="3" t="s">
        <v>161</v>
      </c>
      <c r="D251" s="3" t="s">
        <v>20</v>
      </c>
      <c r="E251" s="3" t="s">
        <v>335</v>
      </c>
      <c r="F251" s="3" t="s">
        <v>22</v>
      </c>
      <c r="G251" s="3" t="s">
        <v>66</v>
      </c>
      <c r="H251" s="3" t="s">
        <v>86</v>
      </c>
      <c r="I251" s="3" t="s">
        <v>50</v>
      </c>
      <c r="J251" s="3" t="s">
        <v>58</v>
      </c>
      <c r="K251" s="3">
        <v>1</v>
      </c>
      <c r="L251" s="3">
        <v>18000</v>
      </c>
      <c r="M251" s="3">
        <v>5</v>
      </c>
      <c r="N251" s="3">
        <v>17100</v>
      </c>
      <c r="O251" s="3">
        <v>3569.42</v>
      </c>
      <c r="P251" s="3" t="s">
        <v>27</v>
      </c>
      <c r="Q251" s="3" t="s">
        <v>28</v>
      </c>
    </row>
    <row r="252" spans="1:17" x14ac:dyDescent="0.35">
      <c r="A252" s="2" t="s">
        <v>614</v>
      </c>
      <c r="B252" s="2" t="s">
        <v>615</v>
      </c>
      <c r="C252" s="2" t="s">
        <v>46</v>
      </c>
      <c r="D252" s="2" t="s">
        <v>20</v>
      </c>
      <c r="E252" s="2" t="s">
        <v>229</v>
      </c>
      <c r="F252" s="2" t="s">
        <v>22</v>
      </c>
      <c r="G252" s="2" t="s">
        <v>23</v>
      </c>
      <c r="H252" s="2" t="s">
        <v>194</v>
      </c>
      <c r="I252" s="2" t="s">
        <v>50</v>
      </c>
      <c r="J252" s="2" t="s">
        <v>51</v>
      </c>
      <c r="K252" s="2">
        <v>3</v>
      </c>
      <c r="L252" s="2">
        <v>32000</v>
      </c>
      <c r="M252" s="2">
        <v>15</v>
      </c>
      <c r="N252" s="2">
        <v>81600</v>
      </c>
      <c r="O252" s="2">
        <v>8088.49</v>
      </c>
      <c r="P252" s="2" t="s">
        <v>27</v>
      </c>
      <c r="Q252" s="2" t="s">
        <v>28</v>
      </c>
    </row>
    <row r="253" spans="1:17" x14ac:dyDescent="0.35">
      <c r="A253" s="3" t="s">
        <v>616</v>
      </c>
      <c r="B253" s="3" t="s">
        <v>617</v>
      </c>
      <c r="C253" s="3" t="s">
        <v>78</v>
      </c>
      <c r="D253" s="3" t="s">
        <v>20</v>
      </c>
      <c r="E253" s="3" t="s">
        <v>503</v>
      </c>
      <c r="F253" s="3" t="s">
        <v>22</v>
      </c>
      <c r="G253" s="3" t="s">
        <v>48</v>
      </c>
      <c r="H253" s="3" t="s">
        <v>49</v>
      </c>
      <c r="I253" s="3" t="s">
        <v>35</v>
      </c>
      <c r="J253" s="3" t="s">
        <v>172</v>
      </c>
      <c r="K253" s="3">
        <v>3</v>
      </c>
      <c r="L253" s="3">
        <v>2499</v>
      </c>
      <c r="M253" s="3">
        <v>5</v>
      </c>
      <c r="N253" s="3">
        <v>7122.15</v>
      </c>
      <c r="O253" s="3">
        <v>701.33</v>
      </c>
      <c r="P253" s="3" t="s">
        <v>27</v>
      </c>
      <c r="Q253" s="3" t="s">
        <v>28</v>
      </c>
    </row>
    <row r="254" spans="1:17" x14ac:dyDescent="0.35">
      <c r="A254" s="2" t="s">
        <v>618</v>
      </c>
      <c r="B254" s="2" t="s">
        <v>239</v>
      </c>
      <c r="C254" s="2" t="s">
        <v>129</v>
      </c>
      <c r="D254" s="2" t="s">
        <v>20</v>
      </c>
      <c r="E254" s="2" t="s">
        <v>379</v>
      </c>
      <c r="F254" s="2" t="s">
        <v>33</v>
      </c>
      <c r="G254" s="2" t="s">
        <v>48</v>
      </c>
      <c r="H254" s="2" t="s">
        <v>57</v>
      </c>
      <c r="I254" s="2" t="s">
        <v>35</v>
      </c>
      <c r="J254" s="2" t="s">
        <v>172</v>
      </c>
      <c r="K254" s="2">
        <v>10</v>
      </c>
      <c r="L254" s="2">
        <v>2499</v>
      </c>
      <c r="M254" s="2">
        <v>15</v>
      </c>
      <c r="N254" s="2">
        <v>21241.5</v>
      </c>
      <c r="O254" s="2">
        <v>6631.38</v>
      </c>
      <c r="P254" s="2" t="s">
        <v>27</v>
      </c>
      <c r="Q254" s="2" t="s">
        <v>28</v>
      </c>
    </row>
    <row r="255" spans="1:17" x14ac:dyDescent="0.35">
      <c r="A255" s="3" t="s">
        <v>619</v>
      </c>
      <c r="B255" s="3" t="s">
        <v>395</v>
      </c>
      <c r="C255" s="3" t="s">
        <v>129</v>
      </c>
      <c r="D255" s="3" t="s">
        <v>20</v>
      </c>
      <c r="E255" s="3" t="s">
        <v>270</v>
      </c>
      <c r="F255" s="3" t="s">
        <v>22</v>
      </c>
      <c r="G255" s="3" t="s">
        <v>73</v>
      </c>
      <c r="H255" s="3" t="s">
        <v>74</v>
      </c>
      <c r="I255" s="3" t="s">
        <v>42</v>
      </c>
      <c r="J255" s="3" t="s">
        <v>43</v>
      </c>
      <c r="K255" s="3">
        <v>3</v>
      </c>
      <c r="L255" s="3">
        <v>220</v>
      </c>
      <c r="M255" s="3">
        <v>5</v>
      </c>
      <c r="N255" s="3">
        <v>627</v>
      </c>
      <c r="O255" s="3">
        <v>97.05</v>
      </c>
      <c r="P255" s="3" t="s">
        <v>27</v>
      </c>
      <c r="Q255" s="3" t="s">
        <v>28</v>
      </c>
    </row>
    <row r="256" spans="1:17" x14ac:dyDescent="0.35">
      <c r="A256" s="2" t="s">
        <v>620</v>
      </c>
      <c r="B256" s="2" t="s">
        <v>587</v>
      </c>
      <c r="C256" s="2" t="s">
        <v>46</v>
      </c>
      <c r="D256" s="2" t="s">
        <v>20</v>
      </c>
      <c r="E256" s="2" t="s">
        <v>284</v>
      </c>
      <c r="F256" s="2" t="s">
        <v>22</v>
      </c>
      <c r="G256" s="2" t="s">
        <v>48</v>
      </c>
      <c r="H256" s="2" t="s">
        <v>169</v>
      </c>
      <c r="I256" s="2" t="s">
        <v>25</v>
      </c>
      <c r="J256" s="2" t="s">
        <v>26</v>
      </c>
      <c r="K256" s="2">
        <v>9</v>
      </c>
      <c r="L256" s="2">
        <v>5500</v>
      </c>
      <c r="M256" s="2">
        <v>20</v>
      </c>
      <c r="N256" s="2">
        <v>39600</v>
      </c>
      <c r="O256" s="2">
        <v>8615.82</v>
      </c>
      <c r="P256" s="2" t="s">
        <v>37</v>
      </c>
      <c r="Q256" s="2" t="s">
        <v>28</v>
      </c>
    </row>
    <row r="257" spans="1:17" x14ac:dyDescent="0.35">
      <c r="A257" s="3" t="s">
        <v>621</v>
      </c>
      <c r="B257" s="3" t="s">
        <v>622</v>
      </c>
      <c r="C257" s="3" t="s">
        <v>129</v>
      </c>
      <c r="D257" s="3" t="s">
        <v>20</v>
      </c>
      <c r="E257" s="3" t="s">
        <v>137</v>
      </c>
      <c r="F257" s="3" t="s">
        <v>56</v>
      </c>
      <c r="G257" s="3" t="s">
        <v>66</v>
      </c>
      <c r="H257" s="3" t="s">
        <v>86</v>
      </c>
      <c r="I257" s="3" t="s">
        <v>42</v>
      </c>
      <c r="J257" s="3" t="s">
        <v>187</v>
      </c>
      <c r="K257" s="3">
        <v>4</v>
      </c>
      <c r="L257" s="3">
        <v>350</v>
      </c>
      <c r="M257" s="3">
        <v>15</v>
      </c>
      <c r="N257" s="3">
        <v>1190</v>
      </c>
      <c r="O257" s="3">
        <v>300.22000000000003</v>
      </c>
      <c r="P257" s="3" t="s">
        <v>27</v>
      </c>
      <c r="Q257" s="3" t="s">
        <v>28</v>
      </c>
    </row>
    <row r="258" spans="1:17" x14ac:dyDescent="0.35">
      <c r="A258" s="2" t="s">
        <v>623</v>
      </c>
      <c r="B258" s="2" t="s">
        <v>140</v>
      </c>
      <c r="C258" s="2" t="s">
        <v>129</v>
      </c>
      <c r="D258" s="2" t="s">
        <v>20</v>
      </c>
      <c r="E258" s="2" t="s">
        <v>337</v>
      </c>
      <c r="F258" s="2" t="s">
        <v>56</v>
      </c>
      <c r="G258" s="2" t="s">
        <v>73</v>
      </c>
      <c r="H258" s="2" t="s">
        <v>74</v>
      </c>
      <c r="I258" s="2" t="s">
        <v>80</v>
      </c>
      <c r="J258" s="2" t="s">
        <v>119</v>
      </c>
      <c r="K258" s="2">
        <v>8</v>
      </c>
      <c r="L258" s="2">
        <v>800</v>
      </c>
      <c r="M258" s="2">
        <v>0</v>
      </c>
      <c r="N258" s="2">
        <v>6400</v>
      </c>
      <c r="O258" s="2">
        <v>540.84</v>
      </c>
      <c r="P258" s="2" t="s">
        <v>27</v>
      </c>
      <c r="Q258" s="2" t="s">
        <v>28</v>
      </c>
    </row>
    <row r="259" spans="1:17" x14ac:dyDescent="0.35">
      <c r="A259" s="3" t="s">
        <v>624</v>
      </c>
      <c r="B259" s="3" t="s">
        <v>468</v>
      </c>
      <c r="C259" s="3" t="s">
        <v>46</v>
      </c>
      <c r="D259" s="3" t="s">
        <v>20</v>
      </c>
      <c r="E259" s="3" t="s">
        <v>178</v>
      </c>
      <c r="F259" s="3" t="s">
        <v>22</v>
      </c>
      <c r="G259" s="3" t="s">
        <v>23</v>
      </c>
      <c r="H259" s="3" t="s">
        <v>131</v>
      </c>
      <c r="I259" s="3" t="s">
        <v>80</v>
      </c>
      <c r="J259" s="3" t="s">
        <v>240</v>
      </c>
      <c r="K259" s="3">
        <v>9</v>
      </c>
      <c r="L259" s="3">
        <v>600</v>
      </c>
      <c r="M259" s="3">
        <v>15</v>
      </c>
      <c r="N259" s="3">
        <v>4590</v>
      </c>
      <c r="O259" s="3">
        <v>892.14</v>
      </c>
      <c r="P259" s="3" t="s">
        <v>27</v>
      </c>
      <c r="Q259" s="3" t="s">
        <v>28</v>
      </c>
    </row>
    <row r="260" spans="1:17" x14ac:dyDescent="0.35">
      <c r="A260" s="2" t="s">
        <v>625</v>
      </c>
      <c r="B260" s="2" t="s">
        <v>333</v>
      </c>
      <c r="C260" s="2" t="s">
        <v>161</v>
      </c>
      <c r="D260" s="2" t="s">
        <v>20</v>
      </c>
      <c r="E260" s="2" t="s">
        <v>221</v>
      </c>
      <c r="F260" s="2" t="s">
        <v>56</v>
      </c>
      <c r="G260" s="2" t="s">
        <v>66</v>
      </c>
      <c r="H260" s="2" t="s">
        <v>98</v>
      </c>
      <c r="I260" s="2" t="s">
        <v>50</v>
      </c>
      <c r="J260" s="2" t="s">
        <v>198</v>
      </c>
      <c r="K260" s="2">
        <v>2</v>
      </c>
      <c r="L260" s="2">
        <v>2500</v>
      </c>
      <c r="M260" s="2">
        <v>20</v>
      </c>
      <c r="N260" s="2">
        <v>4000</v>
      </c>
      <c r="O260" s="2">
        <v>1314.6</v>
      </c>
      <c r="P260" s="2" t="s">
        <v>37</v>
      </c>
      <c r="Q260" s="2" t="s">
        <v>28</v>
      </c>
    </row>
    <row r="261" spans="1:17" x14ac:dyDescent="0.35">
      <c r="A261" s="3" t="s">
        <v>626</v>
      </c>
      <c r="B261" s="3" t="s">
        <v>627</v>
      </c>
      <c r="C261" s="3" t="s">
        <v>117</v>
      </c>
      <c r="D261" s="3" t="s">
        <v>20</v>
      </c>
      <c r="E261" s="3" t="s">
        <v>499</v>
      </c>
      <c r="F261" s="3" t="s">
        <v>56</v>
      </c>
      <c r="G261" s="3" t="s">
        <v>23</v>
      </c>
      <c r="H261" s="3" t="s">
        <v>194</v>
      </c>
      <c r="I261" s="3" t="s">
        <v>42</v>
      </c>
      <c r="J261" s="3" t="s">
        <v>149</v>
      </c>
      <c r="K261" s="3">
        <v>1</v>
      </c>
      <c r="L261" s="3">
        <v>180</v>
      </c>
      <c r="M261" s="3">
        <v>5</v>
      </c>
      <c r="N261" s="3">
        <v>171</v>
      </c>
      <c r="O261" s="3">
        <v>17.66</v>
      </c>
      <c r="P261" s="3" t="s">
        <v>27</v>
      </c>
      <c r="Q261" s="3" t="s">
        <v>28</v>
      </c>
    </row>
    <row r="262" spans="1:17" x14ac:dyDescent="0.35">
      <c r="A262" s="2" t="s">
        <v>628</v>
      </c>
      <c r="B262" s="2" t="s">
        <v>629</v>
      </c>
      <c r="C262" s="2" t="s">
        <v>40</v>
      </c>
      <c r="D262" s="2" t="s">
        <v>20</v>
      </c>
      <c r="E262" s="2" t="s">
        <v>152</v>
      </c>
      <c r="F262" s="2" t="s">
        <v>33</v>
      </c>
      <c r="G262" s="2" t="s">
        <v>48</v>
      </c>
      <c r="H262" s="2" t="s">
        <v>57</v>
      </c>
      <c r="I262" s="2" t="s">
        <v>50</v>
      </c>
      <c r="J262" s="2" t="s">
        <v>58</v>
      </c>
      <c r="K262" s="2">
        <v>3</v>
      </c>
      <c r="L262" s="2">
        <v>18000</v>
      </c>
      <c r="M262" s="2">
        <v>0</v>
      </c>
      <c r="N262" s="2">
        <v>54000</v>
      </c>
      <c r="O262" s="2">
        <v>6708.68</v>
      </c>
      <c r="P262" s="2" t="s">
        <v>37</v>
      </c>
      <c r="Q262" s="2" t="s">
        <v>28</v>
      </c>
    </row>
    <row r="263" spans="1:17" x14ac:dyDescent="0.35">
      <c r="A263" s="3" t="s">
        <v>630</v>
      </c>
      <c r="B263" s="3" t="s">
        <v>631</v>
      </c>
      <c r="C263" s="3" t="s">
        <v>134</v>
      </c>
      <c r="D263" s="3" t="s">
        <v>20</v>
      </c>
      <c r="E263" s="3" t="s">
        <v>72</v>
      </c>
      <c r="F263" s="3" t="s">
        <v>56</v>
      </c>
      <c r="G263" s="3" t="s">
        <v>48</v>
      </c>
      <c r="H263" s="3" t="s">
        <v>169</v>
      </c>
      <c r="I263" s="3" t="s">
        <v>50</v>
      </c>
      <c r="J263" s="3" t="s">
        <v>198</v>
      </c>
      <c r="K263" s="3">
        <v>7</v>
      </c>
      <c r="L263" s="3">
        <v>2500</v>
      </c>
      <c r="M263" s="3">
        <v>10</v>
      </c>
      <c r="N263" s="3">
        <v>15750</v>
      </c>
      <c r="O263" s="3">
        <v>3487.69</v>
      </c>
      <c r="P263" s="3" t="s">
        <v>27</v>
      </c>
      <c r="Q263" s="3" t="s">
        <v>28</v>
      </c>
    </row>
    <row r="264" spans="1:17" x14ac:dyDescent="0.35">
      <c r="A264" s="2" t="s">
        <v>632</v>
      </c>
      <c r="B264" s="2" t="s">
        <v>429</v>
      </c>
      <c r="C264" s="2" t="s">
        <v>129</v>
      </c>
      <c r="D264" s="2" t="s">
        <v>20</v>
      </c>
      <c r="E264" s="2" t="s">
        <v>162</v>
      </c>
      <c r="F264" s="2" t="s">
        <v>33</v>
      </c>
      <c r="G264" s="2" t="s">
        <v>23</v>
      </c>
      <c r="H264" s="2" t="s">
        <v>131</v>
      </c>
      <c r="I264" s="2" t="s">
        <v>80</v>
      </c>
      <c r="J264" s="2" t="s">
        <v>119</v>
      </c>
      <c r="K264" s="2">
        <v>6</v>
      </c>
      <c r="L264" s="2">
        <v>800</v>
      </c>
      <c r="M264" s="2">
        <v>5</v>
      </c>
      <c r="N264" s="2">
        <v>4560</v>
      </c>
      <c r="O264" s="2">
        <v>678.9</v>
      </c>
      <c r="P264" s="2" t="s">
        <v>27</v>
      </c>
      <c r="Q264" s="2" t="s">
        <v>28</v>
      </c>
    </row>
    <row r="265" spans="1:17" x14ac:dyDescent="0.35">
      <c r="A265" s="3" t="s">
        <v>633</v>
      </c>
      <c r="B265" s="3" t="s">
        <v>634</v>
      </c>
      <c r="C265" s="3" t="s">
        <v>161</v>
      </c>
      <c r="D265" s="3" t="s">
        <v>20</v>
      </c>
      <c r="E265" s="3" t="s">
        <v>108</v>
      </c>
      <c r="F265" s="3" t="s">
        <v>33</v>
      </c>
      <c r="G265" s="3" t="s">
        <v>23</v>
      </c>
      <c r="H265" s="3" t="s">
        <v>24</v>
      </c>
      <c r="I265" s="3" t="s">
        <v>35</v>
      </c>
      <c r="J265" s="3" t="s">
        <v>205</v>
      </c>
      <c r="K265" s="3">
        <v>8</v>
      </c>
      <c r="L265" s="3">
        <v>499</v>
      </c>
      <c r="M265" s="3">
        <v>10</v>
      </c>
      <c r="N265" s="3">
        <v>3592.8</v>
      </c>
      <c r="O265" s="3">
        <v>658.94</v>
      </c>
      <c r="P265" s="3" t="s">
        <v>27</v>
      </c>
      <c r="Q265" s="3" t="s">
        <v>28</v>
      </c>
    </row>
    <row r="266" spans="1:17" x14ac:dyDescent="0.35">
      <c r="A266" s="2" t="s">
        <v>635</v>
      </c>
      <c r="B266" s="2" t="s">
        <v>372</v>
      </c>
      <c r="C266" s="2" t="s">
        <v>129</v>
      </c>
      <c r="D266" s="2" t="s">
        <v>20</v>
      </c>
      <c r="E266" s="2" t="s">
        <v>92</v>
      </c>
      <c r="F266" s="2" t="s">
        <v>33</v>
      </c>
      <c r="G266" s="2" t="s">
        <v>73</v>
      </c>
      <c r="H266" s="2" t="s">
        <v>105</v>
      </c>
      <c r="I266" s="2" t="s">
        <v>25</v>
      </c>
      <c r="J266" s="2" t="s">
        <v>26</v>
      </c>
      <c r="K266" s="2">
        <v>7</v>
      </c>
      <c r="L266" s="2">
        <v>5500</v>
      </c>
      <c r="M266" s="2">
        <v>10</v>
      </c>
      <c r="N266" s="2">
        <v>34650</v>
      </c>
      <c r="O266" s="2">
        <v>5309.75</v>
      </c>
      <c r="P266" s="2" t="s">
        <v>37</v>
      </c>
      <c r="Q266" s="2" t="s">
        <v>28</v>
      </c>
    </row>
    <row r="267" spans="1:17" x14ac:dyDescent="0.35">
      <c r="A267" s="3" t="s">
        <v>636</v>
      </c>
      <c r="B267" s="3" t="s">
        <v>637</v>
      </c>
      <c r="C267" s="3" t="s">
        <v>117</v>
      </c>
      <c r="D267" s="3" t="s">
        <v>20</v>
      </c>
      <c r="E267" s="3" t="s">
        <v>295</v>
      </c>
      <c r="F267" s="3" t="s">
        <v>56</v>
      </c>
      <c r="G267" s="3" t="s">
        <v>23</v>
      </c>
      <c r="H267" s="3" t="s">
        <v>34</v>
      </c>
      <c r="I267" s="3" t="s">
        <v>35</v>
      </c>
      <c r="J267" s="3" t="s">
        <v>36</v>
      </c>
      <c r="K267" s="3">
        <v>1</v>
      </c>
      <c r="L267" s="3">
        <v>1999</v>
      </c>
      <c r="M267" s="3">
        <v>15</v>
      </c>
      <c r="N267" s="3">
        <v>1699.15</v>
      </c>
      <c r="O267" s="3">
        <v>167.55</v>
      </c>
      <c r="P267" s="3" t="s">
        <v>37</v>
      </c>
      <c r="Q267" s="3" t="s">
        <v>28</v>
      </c>
    </row>
    <row r="268" spans="1:17" x14ac:dyDescent="0.35">
      <c r="A268" s="2" t="s">
        <v>638</v>
      </c>
      <c r="B268" s="2" t="s">
        <v>639</v>
      </c>
      <c r="C268" s="2" t="s">
        <v>31</v>
      </c>
      <c r="D268" s="2" t="s">
        <v>20</v>
      </c>
      <c r="E268" s="2" t="s">
        <v>152</v>
      </c>
      <c r="F268" s="2" t="s">
        <v>56</v>
      </c>
      <c r="G268" s="2" t="s">
        <v>73</v>
      </c>
      <c r="H268" s="2" t="s">
        <v>93</v>
      </c>
      <c r="I268" s="2" t="s">
        <v>25</v>
      </c>
      <c r="J268" s="2" t="s">
        <v>26</v>
      </c>
      <c r="K268" s="2">
        <v>5</v>
      </c>
      <c r="L268" s="2">
        <v>5500</v>
      </c>
      <c r="M268" s="2">
        <v>20</v>
      </c>
      <c r="N268" s="2">
        <v>22000</v>
      </c>
      <c r="O268" s="2">
        <v>6419.97</v>
      </c>
      <c r="P268" s="2" t="s">
        <v>27</v>
      </c>
      <c r="Q268" s="2" t="s">
        <v>28</v>
      </c>
    </row>
    <row r="269" spans="1:17" x14ac:dyDescent="0.35">
      <c r="A269" s="3" t="s">
        <v>640</v>
      </c>
      <c r="B269" s="3" t="s">
        <v>641</v>
      </c>
      <c r="C269" s="3" t="s">
        <v>256</v>
      </c>
      <c r="D269" s="3" t="s">
        <v>20</v>
      </c>
      <c r="E269" s="3" t="s">
        <v>487</v>
      </c>
      <c r="F269" s="3" t="s">
        <v>22</v>
      </c>
      <c r="G269" s="3" t="s">
        <v>73</v>
      </c>
      <c r="H269" s="3" t="s">
        <v>105</v>
      </c>
      <c r="I269" s="3" t="s">
        <v>80</v>
      </c>
      <c r="J269" s="3" t="s">
        <v>119</v>
      </c>
      <c r="K269" s="3">
        <v>3</v>
      </c>
      <c r="L269" s="3">
        <v>800</v>
      </c>
      <c r="M269" s="3">
        <v>0</v>
      </c>
      <c r="N269" s="3">
        <v>2400</v>
      </c>
      <c r="O269" s="3">
        <v>796.19</v>
      </c>
      <c r="P269" s="3" t="s">
        <v>27</v>
      </c>
      <c r="Q269" s="3" t="s">
        <v>28</v>
      </c>
    </row>
    <row r="270" spans="1:17" x14ac:dyDescent="0.35">
      <c r="A270" s="2" t="s">
        <v>642</v>
      </c>
      <c r="B270" s="2" t="s">
        <v>445</v>
      </c>
      <c r="C270" s="2" t="s">
        <v>134</v>
      </c>
      <c r="D270" s="2" t="s">
        <v>20</v>
      </c>
      <c r="E270" s="2" t="s">
        <v>512</v>
      </c>
      <c r="F270" s="2" t="s">
        <v>56</v>
      </c>
      <c r="G270" s="2" t="s">
        <v>23</v>
      </c>
      <c r="H270" s="2" t="s">
        <v>194</v>
      </c>
      <c r="I270" s="2" t="s">
        <v>50</v>
      </c>
      <c r="J270" s="2" t="s">
        <v>51</v>
      </c>
      <c r="K270" s="2">
        <v>5</v>
      </c>
      <c r="L270" s="2">
        <v>32000</v>
      </c>
      <c r="M270" s="2">
        <v>0</v>
      </c>
      <c r="N270" s="2">
        <v>160000</v>
      </c>
      <c r="O270" s="2">
        <v>21664.400000000001</v>
      </c>
      <c r="P270" s="2" t="s">
        <v>37</v>
      </c>
      <c r="Q270" s="2" t="s">
        <v>82</v>
      </c>
    </row>
    <row r="271" spans="1:17" x14ac:dyDescent="0.35">
      <c r="A271" s="3" t="s">
        <v>643</v>
      </c>
      <c r="B271" s="3" t="s">
        <v>644</v>
      </c>
      <c r="C271" s="3" t="s">
        <v>46</v>
      </c>
      <c r="D271" s="3" t="s">
        <v>20</v>
      </c>
      <c r="E271" s="3" t="s">
        <v>393</v>
      </c>
      <c r="F271" s="3" t="s">
        <v>22</v>
      </c>
      <c r="G271" s="3" t="s">
        <v>66</v>
      </c>
      <c r="H271" s="3" t="s">
        <v>98</v>
      </c>
      <c r="I271" s="3" t="s">
        <v>50</v>
      </c>
      <c r="J271" s="3" t="s">
        <v>58</v>
      </c>
      <c r="K271" s="3">
        <v>4</v>
      </c>
      <c r="L271" s="3">
        <v>18000</v>
      </c>
      <c r="M271" s="3">
        <v>20</v>
      </c>
      <c r="N271" s="3">
        <v>57600</v>
      </c>
      <c r="O271" s="3">
        <v>11031.86</v>
      </c>
      <c r="P271" s="3" t="s">
        <v>37</v>
      </c>
      <c r="Q271" s="3" t="s">
        <v>28</v>
      </c>
    </row>
    <row r="272" spans="1:17" x14ac:dyDescent="0.35">
      <c r="A272" s="2" t="s">
        <v>645</v>
      </c>
      <c r="B272" s="2" t="s">
        <v>160</v>
      </c>
      <c r="C272" s="2" t="s">
        <v>161</v>
      </c>
      <c r="D272" s="2" t="s">
        <v>20</v>
      </c>
      <c r="E272" s="2" t="s">
        <v>155</v>
      </c>
      <c r="F272" s="2" t="s">
        <v>56</v>
      </c>
      <c r="G272" s="2" t="s">
        <v>66</v>
      </c>
      <c r="H272" s="2" t="s">
        <v>86</v>
      </c>
      <c r="I272" s="2" t="s">
        <v>50</v>
      </c>
      <c r="J272" s="2" t="s">
        <v>142</v>
      </c>
      <c r="K272" s="2">
        <v>10</v>
      </c>
      <c r="L272" s="2">
        <v>15000</v>
      </c>
      <c r="M272" s="2">
        <v>0</v>
      </c>
      <c r="N272" s="2">
        <v>150000</v>
      </c>
      <c r="O272" s="2">
        <v>29616.81</v>
      </c>
      <c r="P272" s="2" t="s">
        <v>27</v>
      </c>
      <c r="Q272" s="2" t="s">
        <v>82</v>
      </c>
    </row>
    <row r="273" spans="1:17" x14ac:dyDescent="0.35">
      <c r="A273" s="3" t="s">
        <v>646</v>
      </c>
      <c r="B273" s="3" t="s">
        <v>647</v>
      </c>
      <c r="C273" s="3" t="s">
        <v>54</v>
      </c>
      <c r="D273" s="3" t="s">
        <v>20</v>
      </c>
      <c r="E273" s="3" t="s">
        <v>229</v>
      </c>
      <c r="F273" s="3" t="s">
        <v>22</v>
      </c>
      <c r="G273" s="3" t="s">
        <v>73</v>
      </c>
      <c r="H273" s="3" t="s">
        <v>74</v>
      </c>
      <c r="I273" s="3" t="s">
        <v>25</v>
      </c>
      <c r="J273" s="3" t="s">
        <v>237</v>
      </c>
      <c r="K273" s="3">
        <v>5</v>
      </c>
      <c r="L273" s="3">
        <v>22000</v>
      </c>
      <c r="M273" s="3">
        <v>5</v>
      </c>
      <c r="N273" s="3">
        <v>104500</v>
      </c>
      <c r="O273" s="3">
        <v>10467.31</v>
      </c>
      <c r="P273" s="3" t="s">
        <v>27</v>
      </c>
      <c r="Q273" s="3" t="s">
        <v>28</v>
      </c>
    </row>
    <row r="274" spans="1:17" x14ac:dyDescent="0.35">
      <c r="A274" s="2" t="s">
        <v>648</v>
      </c>
      <c r="B274" s="2" t="s">
        <v>649</v>
      </c>
      <c r="C274" s="2" t="s">
        <v>54</v>
      </c>
      <c r="D274" s="2" t="s">
        <v>20</v>
      </c>
      <c r="E274" s="2" t="s">
        <v>460</v>
      </c>
      <c r="F274" s="2" t="s">
        <v>56</v>
      </c>
      <c r="G274" s="2" t="s">
        <v>66</v>
      </c>
      <c r="H274" s="2" t="s">
        <v>86</v>
      </c>
      <c r="I274" s="2" t="s">
        <v>42</v>
      </c>
      <c r="J274" s="2" t="s">
        <v>43</v>
      </c>
      <c r="K274" s="2">
        <v>7</v>
      </c>
      <c r="L274" s="2">
        <v>220</v>
      </c>
      <c r="M274" s="2">
        <v>0</v>
      </c>
      <c r="N274" s="2">
        <v>1540</v>
      </c>
      <c r="O274" s="2">
        <v>346.04</v>
      </c>
      <c r="P274" s="2" t="s">
        <v>37</v>
      </c>
      <c r="Q274" s="2" t="s">
        <v>28</v>
      </c>
    </row>
    <row r="275" spans="1:17" x14ac:dyDescent="0.35">
      <c r="A275" s="3" t="s">
        <v>650</v>
      </c>
      <c r="B275" s="3" t="s">
        <v>651</v>
      </c>
      <c r="C275" s="3" t="s">
        <v>40</v>
      </c>
      <c r="D275" s="3" t="s">
        <v>20</v>
      </c>
      <c r="E275" s="3" t="s">
        <v>348</v>
      </c>
      <c r="F275" s="3" t="s">
        <v>33</v>
      </c>
      <c r="G275" s="3" t="s">
        <v>23</v>
      </c>
      <c r="H275" s="3" t="s">
        <v>24</v>
      </c>
      <c r="I275" s="3" t="s">
        <v>35</v>
      </c>
      <c r="J275" s="3" t="s">
        <v>138</v>
      </c>
      <c r="K275" s="3">
        <v>10</v>
      </c>
      <c r="L275" s="3">
        <v>799</v>
      </c>
      <c r="M275" s="3">
        <v>0</v>
      </c>
      <c r="N275" s="3">
        <v>7990</v>
      </c>
      <c r="O275" s="3">
        <v>1103.06</v>
      </c>
      <c r="P275" s="3" t="s">
        <v>27</v>
      </c>
      <c r="Q275" s="3" t="s">
        <v>28</v>
      </c>
    </row>
    <row r="276" spans="1:17" x14ac:dyDescent="0.35">
      <c r="A276" s="2" t="s">
        <v>652</v>
      </c>
      <c r="B276" s="2" t="s">
        <v>522</v>
      </c>
      <c r="C276" s="2" t="s">
        <v>161</v>
      </c>
      <c r="D276" s="2" t="s">
        <v>20</v>
      </c>
      <c r="E276" s="2" t="s">
        <v>32</v>
      </c>
      <c r="F276" s="2" t="s">
        <v>56</v>
      </c>
      <c r="G276" s="2" t="s">
        <v>48</v>
      </c>
      <c r="H276" s="2" t="s">
        <v>109</v>
      </c>
      <c r="I276" s="2" t="s">
        <v>80</v>
      </c>
      <c r="J276" s="2" t="s">
        <v>89</v>
      </c>
      <c r="K276" s="2">
        <v>5</v>
      </c>
      <c r="L276" s="2">
        <v>1500</v>
      </c>
      <c r="M276" s="2">
        <v>10</v>
      </c>
      <c r="N276" s="2">
        <v>6750</v>
      </c>
      <c r="O276" s="2">
        <v>2034.61</v>
      </c>
      <c r="P276" s="2" t="s">
        <v>27</v>
      </c>
      <c r="Q276" s="2" t="s">
        <v>28</v>
      </c>
    </row>
    <row r="277" spans="1:17" x14ac:dyDescent="0.35">
      <c r="A277" s="3" t="s">
        <v>653</v>
      </c>
      <c r="B277" s="3" t="s">
        <v>654</v>
      </c>
      <c r="C277" s="3" t="s">
        <v>54</v>
      </c>
      <c r="D277" s="3" t="s">
        <v>20</v>
      </c>
      <c r="E277" s="3" t="s">
        <v>122</v>
      </c>
      <c r="F277" s="3" t="s">
        <v>33</v>
      </c>
      <c r="G277" s="3" t="s">
        <v>66</v>
      </c>
      <c r="H277" s="3" t="s">
        <v>114</v>
      </c>
      <c r="I277" s="3" t="s">
        <v>42</v>
      </c>
      <c r="J277" s="3" t="s">
        <v>187</v>
      </c>
      <c r="K277" s="3">
        <v>3</v>
      </c>
      <c r="L277" s="3">
        <v>350</v>
      </c>
      <c r="M277" s="3">
        <v>0</v>
      </c>
      <c r="N277" s="3">
        <v>1050</v>
      </c>
      <c r="O277" s="3">
        <v>87.39</v>
      </c>
      <c r="P277" s="3" t="s">
        <v>27</v>
      </c>
      <c r="Q277" s="3" t="s">
        <v>28</v>
      </c>
    </row>
    <row r="278" spans="1:17" x14ac:dyDescent="0.35">
      <c r="A278" s="2" t="s">
        <v>655</v>
      </c>
      <c r="B278" s="2" t="s">
        <v>656</v>
      </c>
      <c r="C278" s="2" t="s">
        <v>117</v>
      </c>
      <c r="D278" s="2" t="s">
        <v>20</v>
      </c>
      <c r="E278" s="2" t="s">
        <v>376</v>
      </c>
      <c r="F278" s="2" t="s">
        <v>33</v>
      </c>
      <c r="G278" s="2" t="s">
        <v>23</v>
      </c>
      <c r="H278" s="2" t="s">
        <v>194</v>
      </c>
      <c r="I278" s="2" t="s">
        <v>50</v>
      </c>
      <c r="J278" s="2" t="s">
        <v>58</v>
      </c>
      <c r="K278" s="2">
        <v>2</v>
      </c>
      <c r="L278" s="2">
        <v>18000</v>
      </c>
      <c r="M278" s="2">
        <v>5</v>
      </c>
      <c r="N278" s="2">
        <v>34200</v>
      </c>
      <c r="O278" s="2">
        <v>11069.65</v>
      </c>
      <c r="P278" s="2" t="s">
        <v>27</v>
      </c>
      <c r="Q278" s="2" t="s">
        <v>28</v>
      </c>
    </row>
    <row r="279" spans="1:17" x14ac:dyDescent="0.35">
      <c r="A279" s="3" t="s">
        <v>657</v>
      </c>
      <c r="B279" s="3" t="s">
        <v>658</v>
      </c>
      <c r="C279" s="3" t="s">
        <v>46</v>
      </c>
      <c r="D279" s="3" t="s">
        <v>20</v>
      </c>
      <c r="E279" s="3" t="s">
        <v>588</v>
      </c>
      <c r="F279" s="3" t="s">
        <v>33</v>
      </c>
      <c r="G279" s="3" t="s">
        <v>73</v>
      </c>
      <c r="H279" s="3" t="s">
        <v>93</v>
      </c>
      <c r="I279" s="3" t="s">
        <v>35</v>
      </c>
      <c r="J279" s="3" t="s">
        <v>36</v>
      </c>
      <c r="K279" s="3">
        <v>7</v>
      </c>
      <c r="L279" s="3">
        <v>1999</v>
      </c>
      <c r="M279" s="3">
        <v>15</v>
      </c>
      <c r="N279" s="3">
        <v>11894.05</v>
      </c>
      <c r="O279" s="3">
        <v>2544.7800000000002</v>
      </c>
      <c r="P279" s="3" t="s">
        <v>37</v>
      </c>
      <c r="Q279" s="3" t="s">
        <v>28</v>
      </c>
    </row>
    <row r="280" spans="1:17" x14ac:dyDescent="0.35">
      <c r="A280" s="2" t="s">
        <v>659</v>
      </c>
      <c r="B280" s="2" t="s">
        <v>462</v>
      </c>
      <c r="C280" s="2" t="s">
        <v>31</v>
      </c>
      <c r="D280" s="2" t="s">
        <v>20</v>
      </c>
      <c r="E280" s="2" t="s">
        <v>47</v>
      </c>
      <c r="F280" s="2" t="s">
        <v>22</v>
      </c>
      <c r="G280" s="2" t="s">
        <v>66</v>
      </c>
      <c r="H280" s="2" t="s">
        <v>98</v>
      </c>
      <c r="I280" s="2" t="s">
        <v>25</v>
      </c>
      <c r="J280" s="2" t="s">
        <v>237</v>
      </c>
      <c r="K280" s="2">
        <v>3</v>
      </c>
      <c r="L280" s="2">
        <v>22000</v>
      </c>
      <c r="M280" s="2">
        <v>0</v>
      </c>
      <c r="N280" s="2">
        <v>66000</v>
      </c>
      <c r="O280" s="2">
        <v>16223.38</v>
      </c>
      <c r="P280" s="2" t="s">
        <v>27</v>
      </c>
      <c r="Q280" s="2" t="s">
        <v>28</v>
      </c>
    </row>
    <row r="281" spans="1:17" x14ac:dyDescent="0.35">
      <c r="A281" s="3" t="s">
        <v>660</v>
      </c>
      <c r="B281" s="3" t="s">
        <v>661</v>
      </c>
      <c r="C281" s="3" t="s">
        <v>31</v>
      </c>
      <c r="D281" s="3" t="s">
        <v>20</v>
      </c>
      <c r="E281" s="3" t="s">
        <v>662</v>
      </c>
      <c r="F281" s="3" t="s">
        <v>22</v>
      </c>
      <c r="G281" s="3" t="s">
        <v>73</v>
      </c>
      <c r="H281" s="3" t="s">
        <v>93</v>
      </c>
      <c r="I281" s="3" t="s">
        <v>50</v>
      </c>
      <c r="J281" s="3" t="s">
        <v>198</v>
      </c>
      <c r="K281" s="3">
        <v>7</v>
      </c>
      <c r="L281" s="3">
        <v>2500</v>
      </c>
      <c r="M281" s="3">
        <v>5</v>
      </c>
      <c r="N281" s="3">
        <v>16625</v>
      </c>
      <c r="O281" s="3">
        <v>3211.84</v>
      </c>
      <c r="P281" s="3" t="s">
        <v>27</v>
      </c>
      <c r="Q281" s="3" t="s">
        <v>28</v>
      </c>
    </row>
    <row r="282" spans="1:17" x14ac:dyDescent="0.35">
      <c r="A282" s="2" t="s">
        <v>663</v>
      </c>
      <c r="B282" s="2" t="s">
        <v>505</v>
      </c>
      <c r="C282" s="2" t="s">
        <v>71</v>
      </c>
      <c r="D282" s="2" t="s">
        <v>20</v>
      </c>
      <c r="E282" s="2" t="s">
        <v>408</v>
      </c>
      <c r="F282" s="2" t="s">
        <v>56</v>
      </c>
      <c r="G282" s="2" t="s">
        <v>73</v>
      </c>
      <c r="H282" s="2" t="s">
        <v>74</v>
      </c>
      <c r="I282" s="2" t="s">
        <v>42</v>
      </c>
      <c r="J282" s="2" t="s">
        <v>184</v>
      </c>
      <c r="K282" s="2">
        <v>8</v>
      </c>
      <c r="L282" s="2">
        <v>120</v>
      </c>
      <c r="M282" s="2">
        <v>10</v>
      </c>
      <c r="N282" s="2">
        <v>864</v>
      </c>
      <c r="O282" s="2">
        <v>282.02999999999997</v>
      </c>
      <c r="P282" s="2" t="s">
        <v>37</v>
      </c>
      <c r="Q282" s="2" t="s">
        <v>28</v>
      </c>
    </row>
    <row r="283" spans="1:17" x14ac:dyDescent="0.35">
      <c r="A283" s="3" t="s">
        <v>664</v>
      </c>
      <c r="B283" s="3" t="s">
        <v>665</v>
      </c>
      <c r="C283" s="3" t="s">
        <v>78</v>
      </c>
      <c r="D283" s="3" t="s">
        <v>20</v>
      </c>
      <c r="E283" s="3" t="s">
        <v>118</v>
      </c>
      <c r="F283" s="3" t="s">
        <v>33</v>
      </c>
      <c r="G283" s="3" t="s">
        <v>48</v>
      </c>
      <c r="H283" s="3" t="s">
        <v>57</v>
      </c>
      <c r="I283" s="3" t="s">
        <v>50</v>
      </c>
      <c r="J283" s="3" t="s">
        <v>198</v>
      </c>
      <c r="K283" s="3">
        <v>1</v>
      </c>
      <c r="L283" s="3">
        <v>2500</v>
      </c>
      <c r="M283" s="3">
        <v>15</v>
      </c>
      <c r="N283" s="3">
        <v>2125</v>
      </c>
      <c r="O283" s="3">
        <v>473.76</v>
      </c>
      <c r="P283" s="3" t="s">
        <v>27</v>
      </c>
      <c r="Q283" s="3" t="s">
        <v>28</v>
      </c>
    </row>
    <row r="284" spans="1:17" x14ac:dyDescent="0.35">
      <c r="A284" s="2" t="s">
        <v>666</v>
      </c>
      <c r="B284" s="2" t="s">
        <v>667</v>
      </c>
      <c r="C284" s="2" t="s">
        <v>46</v>
      </c>
      <c r="D284" s="2" t="s">
        <v>20</v>
      </c>
      <c r="E284" s="2" t="s">
        <v>310</v>
      </c>
      <c r="F284" s="2" t="s">
        <v>33</v>
      </c>
      <c r="G284" s="2" t="s">
        <v>66</v>
      </c>
      <c r="H284" s="2" t="s">
        <v>98</v>
      </c>
      <c r="I284" s="2" t="s">
        <v>80</v>
      </c>
      <c r="J284" s="2" t="s">
        <v>89</v>
      </c>
      <c r="K284" s="2">
        <v>4</v>
      </c>
      <c r="L284" s="2">
        <v>1500</v>
      </c>
      <c r="M284" s="2">
        <v>20</v>
      </c>
      <c r="N284" s="2">
        <v>4800</v>
      </c>
      <c r="O284" s="2">
        <v>1481.07</v>
      </c>
      <c r="P284" s="2" t="s">
        <v>37</v>
      </c>
      <c r="Q284" s="2" t="s">
        <v>28</v>
      </c>
    </row>
    <row r="285" spans="1:17" x14ac:dyDescent="0.35">
      <c r="A285" s="3" t="s">
        <v>668</v>
      </c>
      <c r="B285" s="3" t="s">
        <v>617</v>
      </c>
      <c r="C285" s="3" t="s">
        <v>78</v>
      </c>
      <c r="D285" s="3" t="s">
        <v>20</v>
      </c>
      <c r="E285" s="3" t="s">
        <v>662</v>
      </c>
      <c r="F285" s="3" t="s">
        <v>56</v>
      </c>
      <c r="G285" s="3" t="s">
        <v>48</v>
      </c>
      <c r="H285" s="3" t="s">
        <v>49</v>
      </c>
      <c r="I285" s="3" t="s">
        <v>80</v>
      </c>
      <c r="J285" s="3" t="s">
        <v>89</v>
      </c>
      <c r="K285" s="3">
        <v>6</v>
      </c>
      <c r="L285" s="3">
        <v>1500</v>
      </c>
      <c r="M285" s="3">
        <v>20</v>
      </c>
      <c r="N285" s="3">
        <v>7200</v>
      </c>
      <c r="O285" s="3">
        <v>1671.65</v>
      </c>
      <c r="P285" s="3" t="s">
        <v>27</v>
      </c>
      <c r="Q285" s="3" t="s">
        <v>28</v>
      </c>
    </row>
    <row r="286" spans="1:17" x14ac:dyDescent="0.35">
      <c r="A286" s="2" t="s">
        <v>669</v>
      </c>
      <c r="B286" s="2" t="s">
        <v>670</v>
      </c>
      <c r="C286" s="2" t="s">
        <v>71</v>
      </c>
      <c r="D286" s="2" t="s">
        <v>20</v>
      </c>
      <c r="E286" s="2" t="s">
        <v>376</v>
      </c>
      <c r="F286" s="2" t="s">
        <v>33</v>
      </c>
      <c r="G286" s="2" t="s">
        <v>73</v>
      </c>
      <c r="H286" s="2" t="s">
        <v>93</v>
      </c>
      <c r="I286" s="2" t="s">
        <v>50</v>
      </c>
      <c r="J286" s="2" t="s">
        <v>58</v>
      </c>
      <c r="K286" s="2">
        <v>4</v>
      </c>
      <c r="L286" s="2">
        <v>18000</v>
      </c>
      <c r="M286" s="2">
        <v>20</v>
      </c>
      <c r="N286" s="2">
        <v>57600</v>
      </c>
      <c r="O286" s="2">
        <v>8010.92</v>
      </c>
      <c r="P286" s="2" t="s">
        <v>37</v>
      </c>
      <c r="Q286" s="2" t="s">
        <v>82</v>
      </c>
    </row>
    <row r="287" spans="1:17" x14ac:dyDescent="0.35">
      <c r="A287" s="3" t="s">
        <v>671</v>
      </c>
      <c r="B287" s="3" t="s">
        <v>314</v>
      </c>
      <c r="C287" s="3" t="s">
        <v>78</v>
      </c>
      <c r="D287" s="3" t="s">
        <v>20</v>
      </c>
      <c r="E287" s="3" t="s">
        <v>301</v>
      </c>
      <c r="F287" s="3" t="s">
        <v>33</v>
      </c>
      <c r="G287" s="3" t="s">
        <v>66</v>
      </c>
      <c r="H287" s="3" t="s">
        <v>67</v>
      </c>
      <c r="I287" s="3" t="s">
        <v>25</v>
      </c>
      <c r="J287" s="3" t="s">
        <v>26</v>
      </c>
      <c r="K287" s="3">
        <v>6</v>
      </c>
      <c r="L287" s="3">
        <v>5500</v>
      </c>
      <c r="M287" s="3">
        <v>0</v>
      </c>
      <c r="N287" s="3">
        <v>33000</v>
      </c>
      <c r="O287" s="3">
        <v>2835.24</v>
      </c>
      <c r="P287" s="3" t="s">
        <v>27</v>
      </c>
      <c r="Q287" s="3" t="s">
        <v>82</v>
      </c>
    </row>
    <row r="288" spans="1:17" x14ac:dyDescent="0.35">
      <c r="A288" s="2" t="s">
        <v>672</v>
      </c>
      <c r="B288" s="2" t="s">
        <v>673</v>
      </c>
      <c r="C288" s="2" t="s">
        <v>161</v>
      </c>
      <c r="D288" s="2" t="s">
        <v>20</v>
      </c>
      <c r="E288" s="2" t="s">
        <v>674</v>
      </c>
      <c r="F288" s="2" t="s">
        <v>22</v>
      </c>
      <c r="G288" s="2" t="s">
        <v>23</v>
      </c>
      <c r="H288" s="2" t="s">
        <v>194</v>
      </c>
      <c r="I288" s="2" t="s">
        <v>42</v>
      </c>
      <c r="J288" s="2" t="s">
        <v>184</v>
      </c>
      <c r="K288" s="2">
        <v>2</v>
      </c>
      <c r="L288" s="2">
        <v>120</v>
      </c>
      <c r="M288" s="2">
        <v>10</v>
      </c>
      <c r="N288" s="2">
        <v>216</v>
      </c>
      <c r="O288" s="2">
        <v>34.880000000000003</v>
      </c>
      <c r="P288" s="2" t="s">
        <v>27</v>
      </c>
      <c r="Q288" s="2" t="s">
        <v>28</v>
      </c>
    </row>
    <row r="289" spans="1:17" x14ac:dyDescent="0.35">
      <c r="A289" s="3" t="s">
        <v>675</v>
      </c>
      <c r="B289" s="3" t="s">
        <v>676</v>
      </c>
      <c r="C289" s="3" t="s">
        <v>78</v>
      </c>
      <c r="D289" s="3" t="s">
        <v>20</v>
      </c>
      <c r="E289" s="3" t="s">
        <v>104</v>
      </c>
      <c r="F289" s="3" t="s">
        <v>56</v>
      </c>
      <c r="G289" s="3" t="s">
        <v>73</v>
      </c>
      <c r="H289" s="3" t="s">
        <v>74</v>
      </c>
      <c r="I289" s="3" t="s">
        <v>35</v>
      </c>
      <c r="J289" s="3" t="s">
        <v>36</v>
      </c>
      <c r="K289" s="3">
        <v>10</v>
      </c>
      <c r="L289" s="3">
        <v>1999</v>
      </c>
      <c r="M289" s="3">
        <v>10</v>
      </c>
      <c r="N289" s="3">
        <v>17991</v>
      </c>
      <c r="O289" s="3">
        <v>2523.67</v>
      </c>
      <c r="P289" s="3" t="s">
        <v>27</v>
      </c>
      <c r="Q289" s="3" t="s">
        <v>28</v>
      </c>
    </row>
    <row r="290" spans="1:17" x14ac:dyDescent="0.35">
      <c r="A290" s="2" t="s">
        <v>677</v>
      </c>
      <c r="B290" s="2" t="s">
        <v>678</v>
      </c>
      <c r="C290" s="2" t="s">
        <v>78</v>
      </c>
      <c r="D290" s="2" t="s">
        <v>20</v>
      </c>
      <c r="E290" s="2" t="s">
        <v>385</v>
      </c>
      <c r="F290" s="2" t="s">
        <v>33</v>
      </c>
      <c r="G290" s="2" t="s">
        <v>48</v>
      </c>
      <c r="H290" s="2" t="s">
        <v>57</v>
      </c>
      <c r="I290" s="2" t="s">
        <v>35</v>
      </c>
      <c r="J290" s="2" t="s">
        <v>205</v>
      </c>
      <c r="K290" s="2">
        <v>10</v>
      </c>
      <c r="L290" s="2">
        <v>499</v>
      </c>
      <c r="M290" s="2">
        <v>15</v>
      </c>
      <c r="N290" s="2">
        <v>4241.5</v>
      </c>
      <c r="O290" s="2">
        <v>1313.61</v>
      </c>
      <c r="P290" s="2" t="s">
        <v>27</v>
      </c>
      <c r="Q290" s="2" t="s">
        <v>28</v>
      </c>
    </row>
    <row r="291" spans="1:17" x14ac:dyDescent="0.35">
      <c r="A291" s="3" t="s">
        <v>679</v>
      </c>
      <c r="B291" s="3" t="s">
        <v>680</v>
      </c>
      <c r="C291" s="3" t="s">
        <v>40</v>
      </c>
      <c r="D291" s="3" t="s">
        <v>20</v>
      </c>
      <c r="E291" s="3" t="s">
        <v>354</v>
      </c>
      <c r="F291" s="3" t="s">
        <v>22</v>
      </c>
      <c r="G291" s="3" t="s">
        <v>66</v>
      </c>
      <c r="H291" s="3" t="s">
        <v>114</v>
      </c>
      <c r="I291" s="3" t="s">
        <v>42</v>
      </c>
      <c r="J291" s="3" t="s">
        <v>149</v>
      </c>
      <c r="K291" s="3">
        <v>6</v>
      </c>
      <c r="L291" s="3">
        <v>180</v>
      </c>
      <c r="M291" s="3">
        <v>0</v>
      </c>
      <c r="N291" s="3">
        <v>1080</v>
      </c>
      <c r="O291" s="3">
        <v>155.80000000000001</v>
      </c>
      <c r="P291" s="3" t="s">
        <v>27</v>
      </c>
      <c r="Q291" s="3" t="s">
        <v>28</v>
      </c>
    </row>
    <row r="292" spans="1:17" x14ac:dyDescent="0.35">
      <c r="A292" s="2" t="s">
        <v>681</v>
      </c>
      <c r="B292" s="2" t="s">
        <v>682</v>
      </c>
      <c r="C292" s="2" t="s">
        <v>40</v>
      </c>
      <c r="D292" s="2" t="s">
        <v>20</v>
      </c>
      <c r="E292" s="2" t="s">
        <v>250</v>
      </c>
      <c r="F292" s="2" t="s">
        <v>33</v>
      </c>
      <c r="G292" s="2" t="s">
        <v>48</v>
      </c>
      <c r="H292" s="2" t="s">
        <v>109</v>
      </c>
      <c r="I292" s="2" t="s">
        <v>50</v>
      </c>
      <c r="J292" s="2" t="s">
        <v>198</v>
      </c>
      <c r="K292" s="2">
        <v>4</v>
      </c>
      <c r="L292" s="2">
        <v>2500</v>
      </c>
      <c r="M292" s="2">
        <v>5</v>
      </c>
      <c r="N292" s="2">
        <v>9500</v>
      </c>
      <c r="O292" s="2">
        <v>2538</v>
      </c>
      <c r="P292" s="2" t="s">
        <v>37</v>
      </c>
      <c r="Q292" s="2" t="s">
        <v>28</v>
      </c>
    </row>
    <row r="293" spans="1:17" x14ac:dyDescent="0.35">
      <c r="A293" s="3" t="s">
        <v>683</v>
      </c>
      <c r="B293" s="3" t="s">
        <v>682</v>
      </c>
      <c r="C293" s="3" t="s">
        <v>40</v>
      </c>
      <c r="D293" s="3" t="s">
        <v>20</v>
      </c>
      <c r="E293" s="3" t="s">
        <v>421</v>
      </c>
      <c r="F293" s="3" t="s">
        <v>33</v>
      </c>
      <c r="G293" s="3" t="s">
        <v>73</v>
      </c>
      <c r="H293" s="3" t="s">
        <v>211</v>
      </c>
      <c r="I293" s="3" t="s">
        <v>42</v>
      </c>
      <c r="J293" s="3" t="s">
        <v>149</v>
      </c>
      <c r="K293" s="3">
        <v>7</v>
      </c>
      <c r="L293" s="3">
        <v>180</v>
      </c>
      <c r="M293" s="3">
        <v>15</v>
      </c>
      <c r="N293" s="3">
        <v>1071</v>
      </c>
      <c r="O293" s="3">
        <v>340.66</v>
      </c>
      <c r="P293" s="3" t="s">
        <v>37</v>
      </c>
      <c r="Q293" s="3" t="s">
        <v>28</v>
      </c>
    </row>
    <row r="294" spans="1:17" x14ac:dyDescent="0.35">
      <c r="A294" s="2" t="s">
        <v>684</v>
      </c>
      <c r="B294" s="2" t="s">
        <v>685</v>
      </c>
      <c r="C294" s="2" t="s">
        <v>134</v>
      </c>
      <c r="D294" s="2" t="s">
        <v>20</v>
      </c>
      <c r="E294" s="2" t="s">
        <v>399</v>
      </c>
      <c r="F294" s="2" t="s">
        <v>33</v>
      </c>
      <c r="G294" s="2" t="s">
        <v>66</v>
      </c>
      <c r="H294" s="2" t="s">
        <v>67</v>
      </c>
      <c r="I294" s="2" t="s">
        <v>42</v>
      </c>
      <c r="J294" s="2" t="s">
        <v>187</v>
      </c>
      <c r="K294" s="2">
        <v>1</v>
      </c>
      <c r="L294" s="2">
        <v>350</v>
      </c>
      <c r="M294" s="2">
        <v>10</v>
      </c>
      <c r="N294" s="2">
        <v>315</v>
      </c>
      <c r="O294" s="2">
        <v>26.91</v>
      </c>
      <c r="P294" s="2" t="s">
        <v>27</v>
      </c>
      <c r="Q294" s="2" t="s">
        <v>28</v>
      </c>
    </row>
    <row r="295" spans="1:17" x14ac:dyDescent="0.35">
      <c r="A295" s="3" t="s">
        <v>686</v>
      </c>
      <c r="B295" s="3" t="s">
        <v>583</v>
      </c>
      <c r="C295" s="3" t="s">
        <v>31</v>
      </c>
      <c r="D295" s="3" t="s">
        <v>20</v>
      </c>
      <c r="E295" s="3" t="s">
        <v>554</v>
      </c>
      <c r="F295" s="3" t="s">
        <v>22</v>
      </c>
      <c r="G295" s="3" t="s">
        <v>73</v>
      </c>
      <c r="H295" s="3" t="s">
        <v>105</v>
      </c>
      <c r="I295" s="3" t="s">
        <v>50</v>
      </c>
      <c r="J295" s="3" t="s">
        <v>142</v>
      </c>
      <c r="K295" s="3">
        <v>2</v>
      </c>
      <c r="L295" s="3">
        <v>15000</v>
      </c>
      <c r="M295" s="3">
        <v>10</v>
      </c>
      <c r="N295" s="3">
        <v>27000</v>
      </c>
      <c r="O295" s="3">
        <v>6490.48</v>
      </c>
      <c r="P295" s="3" t="s">
        <v>37</v>
      </c>
      <c r="Q295" s="3" t="s">
        <v>28</v>
      </c>
    </row>
    <row r="296" spans="1:17" x14ac:dyDescent="0.35">
      <c r="A296" s="2" t="s">
        <v>687</v>
      </c>
      <c r="B296" s="2" t="s">
        <v>529</v>
      </c>
      <c r="C296" s="2" t="s">
        <v>54</v>
      </c>
      <c r="D296" s="2" t="s">
        <v>20</v>
      </c>
      <c r="E296" s="2" t="s">
        <v>108</v>
      </c>
      <c r="F296" s="2" t="s">
        <v>22</v>
      </c>
      <c r="G296" s="2" t="s">
        <v>66</v>
      </c>
      <c r="H296" s="2" t="s">
        <v>86</v>
      </c>
      <c r="I296" s="2" t="s">
        <v>35</v>
      </c>
      <c r="J296" s="2" t="s">
        <v>205</v>
      </c>
      <c r="K296" s="2">
        <v>2</v>
      </c>
      <c r="L296" s="2">
        <v>499</v>
      </c>
      <c r="M296" s="2">
        <v>10</v>
      </c>
      <c r="N296" s="2">
        <v>898.2</v>
      </c>
      <c r="O296" s="2">
        <v>121.7</v>
      </c>
      <c r="P296" s="2" t="s">
        <v>37</v>
      </c>
      <c r="Q296" s="2" t="s">
        <v>28</v>
      </c>
    </row>
    <row r="297" spans="1:17" x14ac:dyDescent="0.35">
      <c r="A297" s="3" t="s">
        <v>688</v>
      </c>
      <c r="B297" s="3" t="s">
        <v>442</v>
      </c>
      <c r="C297" s="3" t="s">
        <v>78</v>
      </c>
      <c r="D297" s="3" t="s">
        <v>20</v>
      </c>
      <c r="E297" s="3" t="s">
        <v>284</v>
      </c>
      <c r="F297" s="3" t="s">
        <v>33</v>
      </c>
      <c r="G297" s="3" t="s">
        <v>48</v>
      </c>
      <c r="H297" s="3" t="s">
        <v>49</v>
      </c>
      <c r="I297" s="3" t="s">
        <v>25</v>
      </c>
      <c r="J297" s="3" t="s">
        <v>26</v>
      </c>
      <c r="K297" s="3">
        <v>2</v>
      </c>
      <c r="L297" s="3">
        <v>5500</v>
      </c>
      <c r="M297" s="3">
        <v>0</v>
      </c>
      <c r="N297" s="3">
        <v>11000</v>
      </c>
      <c r="O297" s="3">
        <v>2046.92</v>
      </c>
      <c r="P297" s="3" t="s">
        <v>37</v>
      </c>
      <c r="Q297" s="3" t="s">
        <v>28</v>
      </c>
    </row>
    <row r="298" spans="1:17" x14ac:dyDescent="0.35">
      <c r="A298" s="2" t="s">
        <v>689</v>
      </c>
      <c r="B298" s="2" t="s">
        <v>216</v>
      </c>
      <c r="C298" s="2" t="s">
        <v>54</v>
      </c>
      <c r="D298" s="2" t="s">
        <v>20</v>
      </c>
      <c r="E298" s="2" t="s">
        <v>47</v>
      </c>
      <c r="F298" s="2" t="s">
        <v>22</v>
      </c>
      <c r="G298" s="2" t="s">
        <v>73</v>
      </c>
      <c r="H298" s="2" t="s">
        <v>93</v>
      </c>
      <c r="I298" s="2" t="s">
        <v>25</v>
      </c>
      <c r="J298" s="2" t="s">
        <v>94</v>
      </c>
      <c r="K298" s="2">
        <v>8</v>
      </c>
      <c r="L298" s="2">
        <v>18000</v>
      </c>
      <c r="M298" s="2">
        <v>5</v>
      </c>
      <c r="N298" s="2">
        <v>136800</v>
      </c>
      <c r="O298" s="2">
        <v>14526.31</v>
      </c>
      <c r="P298" s="2" t="s">
        <v>27</v>
      </c>
      <c r="Q298" s="2" t="s">
        <v>82</v>
      </c>
    </row>
    <row r="299" spans="1:17" x14ac:dyDescent="0.35">
      <c r="A299" s="3" t="s">
        <v>690</v>
      </c>
      <c r="B299" s="3" t="s">
        <v>133</v>
      </c>
      <c r="C299" s="3" t="s">
        <v>134</v>
      </c>
      <c r="D299" s="3" t="s">
        <v>20</v>
      </c>
      <c r="E299" s="3" t="s">
        <v>662</v>
      </c>
      <c r="F299" s="3" t="s">
        <v>22</v>
      </c>
      <c r="G299" s="3" t="s">
        <v>73</v>
      </c>
      <c r="H299" s="3" t="s">
        <v>93</v>
      </c>
      <c r="I299" s="3" t="s">
        <v>25</v>
      </c>
      <c r="J299" s="3" t="s">
        <v>237</v>
      </c>
      <c r="K299" s="3">
        <v>8</v>
      </c>
      <c r="L299" s="3">
        <v>22000</v>
      </c>
      <c r="M299" s="3">
        <v>15</v>
      </c>
      <c r="N299" s="3">
        <v>149600</v>
      </c>
      <c r="O299" s="3">
        <v>48113.89</v>
      </c>
      <c r="P299" s="3" t="s">
        <v>27</v>
      </c>
      <c r="Q299" s="3" t="s">
        <v>28</v>
      </c>
    </row>
    <row r="300" spans="1:17" x14ac:dyDescent="0.35">
      <c r="A300" s="2" t="s">
        <v>691</v>
      </c>
      <c r="B300" s="2" t="s">
        <v>637</v>
      </c>
      <c r="C300" s="2" t="s">
        <v>117</v>
      </c>
      <c r="D300" s="2" t="s">
        <v>20</v>
      </c>
      <c r="E300" s="2" t="s">
        <v>408</v>
      </c>
      <c r="F300" s="2" t="s">
        <v>33</v>
      </c>
      <c r="G300" s="2" t="s">
        <v>48</v>
      </c>
      <c r="H300" s="2" t="s">
        <v>109</v>
      </c>
      <c r="I300" s="2" t="s">
        <v>25</v>
      </c>
      <c r="J300" s="2" t="s">
        <v>26</v>
      </c>
      <c r="K300" s="2">
        <v>8</v>
      </c>
      <c r="L300" s="2">
        <v>5500</v>
      </c>
      <c r="M300" s="2">
        <v>0</v>
      </c>
      <c r="N300" s="2">
        <v>44000</v>
      </c>
      <c r="O300" s="2">
        <v>6647.96</v>
      </c>
      <c r="P300" s="2" t="s">
        <v>37</v>
      </c>
      <c r="Q300" s="2" t="s">
        <v>28</v>
      </c>
    </row>
    <row r="301" spans="1:17" x14ac:dyDescent="0.35">
      <c r="A301" s="3" t="s">
        <v>692</v>
      </c>
      <c r="B301" s="3" t="s">
        <v>676</v>
      </c>
      <c r="C301" s="3" t="s">
        <v>78</v>
      </c>
      <c r="D301" s="3" t="s">
        <v>20</v>
      </c>
      <c r="E301" s="3" t="s">
        <v>512</v>
      </c>
      <c r="F301" s="3" t="s">
        <v>22</v>
      </c>
      <c r="G301" s="3" t="s">
        <v>66</v>
      </c>
      <c r="H301" s="3" t="s">
        <v>114</v>
      </c>
      <c r="I301" s="3" t="s">
        <v>50</v>
      </c>
      <c r="J301" s="3" t="s">
        <v>198</v>
      </c>
      <c r="K301" s="3">
        <v>9</v>
      </c>
      <c r="L301" s="3">
        <v>2500</v>
      </c>
      <c r="M301" s="3">
        <v>15</v>
      </c>
      <c r="N301" s="3">
        <v>19125</v>
      </c>
      <c r="O301" s="3">
        <v>6542.48</v>
      </c>
      <c r="P301" s="3" t="s">
        <v>27</v>
      </c>
      <c r="Q301" s="3" t="s">
        <v>28</v>
      </c>
    </row>
    <row r="302" spans="1:17" x14ac:dyDescent="0.35">
      <c r="A302" s="2" t="s">
        <v>693</v>
      </c>
      <c r="B302" s="2" t="s">
        <v>694</v>
      </c>
      <c r="C302" s="2" t="s">
        <v>256</v>
      </c>
      <c r="D302" s="2" t="s">
        <v>20</v>
      </c>
      <c r="E302" s="2" t="s">
        <v>379</v>
      </c>
      <c r="F302" s="2" t="s">
        <v>33</v>
      </c>
      <c r="G302" s="2" t="s">
        <v>73</v>
      </c>
      <c r="H302" s="2" t="s">
        <v>211</v>
      </c>
      <c r="I302" s="2" t="s">
        <v>80</v>
      </c>
      <c r="J302" s="2" t="s">
        <v>119</v>
      </c>
      <c r="K302" s="2">
        <v>8</v>
      </c>
      <c r="L302" s="2">
        <v>800</v>
      </c>
      <c r="M302" s="2">
        <v>10</v>
      </c>
      <c r="N302" s="2">
        <v>5760</v>
      </c>
      <c r="O302" s="2">
        <v>583.59</v>
      </c>
      <c r="P302" s="2" t="s">
        <v>27</v>
      </c>
      <c r="Q302" s="2" t="s">
        <v>28</v>
      </c>
    </row>
    <row r="303" spans="1:17" x14ac:dyDescent="0.35">
      <c r="A303" s="3" t="s">
        <v>695</v>
      </c>
      <c r="B303" s="3" t="s">
        <v>60</v>
      </c>
      <c r="C303" s="3" t="s">
        <v>19</v>
      </c>
      <c r="D303" s="3" t="s">
        <v>20</v>
      </c>
      <c r="E303" s="3" t="s">
        <v>267</v>
      </c>
      <c r="F303" s="3" t="s">
        <v>33</v>
      </c>
      <c r="G303" s="3" t="s">
        <v>66</v>
      </c>
      <c r="H303" s="3" t="s">
        <v>67</v>
      </c>
      <c r="I303" s="3" t="s">
        <v>35</v>
      </c>
      <c r="J303" s="3" t="s">
        <v>126</v>
      </c>
      <c r="K303" s="3">
        <v>1</v>
      </c>
      <c r="L303" s="3">
        <v>1299</v>
      </c>
      <c r="M303" s="3">
        <v>15</v>
      </c>
      <c r="N303" s="3">
        <v>1104.1500000000001</v>
      </c>
      <c r="O303" s="3">
        <v>111.7</v>
      </c>
      <c r="P303" s="3" t="s">
        <v>37</v>
      </c>
      <c r="Q303" s="3" t="s">
        <v>28</v>
      </c>
    </row>
    <row r="304" spans="1:17" x14ac:dyDescent="0.35">
      <c r="A304" s="2" t="s">
        <v>696</v>
      </c>
      <c r="B304" s="2" t="s">
        <v>64</v>
      </c>
      <c r="C304" s="2" t="s">
        <v>40</v>
      </c>
      <c r="D304" s="2" t="s">
        <v>20</v>
      </c>
      <c r="E304" s="2" t="s">
        <v>72</v>
      </c>
      <c r="F304" s="2" t="s">
        <v>22</v>
      </c>
      <c r="G304" s="2" t="s">
        <v>48</v>
      </c>
      <c r="H304" s="2" t="s">
        <v>49</v>
      </c>
      <c r="I304" s="2" t="s">
        <v>50</v>
      </c>
      <c r="J304" s="2" t="s">
        <v>58</v>
      </c>
      <c r="K304" s="2">
        <v>7</v>
      </c>
      <c r="L304" s="2">
        <v>18000</v>
      </c>
      <c r="M304" s="2">
        <v>20</v>
      </c>
      <c r="N304" s="2">
        <v>100800</v>
      </c>
      <c r="O304" s="2">
        <v>18878.41</v>
      </c>
      <c r="P304" s="2" t="s">
        <v>37</v>
      </c>
      <c r="Q304" s="2" t="s">
        <v>82</v>
      </c>
    </row>
    <row r="305" spans="1:17" x14ac:dyDescent="0.35">
      <c r="A305" s="3" t="s">
        <v>697</v>
      </c>
      <c r="B305" s="3" t="s">
        <v>77</v>
      </c>
      <c r="C305" s="3" t="s">
        <v>78</v>
      </c>
      <c r="D305" s="3" t="s">
        <v>20</v>
      </c>
      <c r="E305" s="3" t="s">
        <v>190</v>
      </c>
      <c r="F305" s="3" t="s">
        <v>33</v>
      </c>
      <c r="G305" s="3" t="s">
        <v>23</v>
      </c>
      <c r="H305" s="3" t="s">
        <v>131</v>
      </c>
      <c r="I305" s="3" t="s">
        <v>50</v>
      </c>
      <c r="J305" s="3" t="s">
        <v>51</v>
      </c>
      <c r="K305" s="3">
        <v>3</v>
      </c>
      <c r="L305" s="3">
        <v>32000</v>
      </c>
      <c r="M305" s="3">
        <v>5</v>
      </c>
      <c r="N305" s="3">
        <v>91200</v>
      </c>
      <c r="O305" s="3">
        <v>21247.81</v>
      </c>
      <c r="P305" s="3" t="s">
        <v>27</v>
      </c>
      <c r="Q305" s="3" t="s">
        <v>28</v>
      </c>
    </row>
    <row r="306" spans="1:17" x14ac:dyDescent="0.35">
      <c r="A306" s="2" t="s">
        <v>698</v>
      </c>
      <c r="B306" s="2" t="s">
        <v>116</v>
      </c>
      <c r="C306" s="2" t="s">
        <v>117</v>
      </c>
      <c r="D306" s="2" t="s">
        <v>20</v>
      </c>
      <c r="E306" s="2" t="s">
        <v>55</v>
      </c>
      <c r="F306" s="2" t="s">
        <v>33</v>
      </c>
      <c r="G306" s="2" t="s">
        <v>48</v>
      </c>
      <c r="H306" s="2" t="s">
        <v>49</v>
      </c>
      <c r="I306" s="2" t="s">
        <v>42</v>
      </c>
      <c r="J306" s="2" t="s">
        <v>43</v>
      </c>
      <c r="K306" s="2">
        <v>7</v>
      </c>
      <c r="L306" s="2">
        <v>220</v>
      </c>
      <c r="M306" s="2">
        <v>15</v>
      </c>
      <c r="N306" s="2">
        <v>1309</v>
      </c>
      <c r="O306" s="2">
        <v>306.89</v>
      </c>
      <c r="P306" s="2" t="s">
        <v>27</v>
      </c>
      <c r="Q306" s="2" t="s">
        <v>28</v>
      </c>
    </row>
    <row r="307" spans="1:17" x14ac:dyDescent="0.35">
      <c r="A307" s="3" t="s">
        <v>699</v>
      </c>
      <c r="B307" s="3" t="s">
        <v>700</v>
      </c>
      <c r="C307" s="3" t="s">
        <v>134</v>
      </c>
      <c r="D307" s="3" t="s">
        <v>20</v>
      </c>
      <c r="E307" s="3" t="s">
        <v>399</v>
      </c>
      <c r="F307" s="3" t="s">
        <v>33</v>
      </c>
      <c r="G307" s="3" t="s">
        <v>73</v>
      </c>
      <c r="H307" s="3" t="s">
        <v>93</v>
      </c>
      <c r="I307" s="3" t="s">
        <v>42</v>
      </c>
      <c r="J307" s="3" t="s">
        <v>43</v>
      </c>
      <c r="K307" s="3">
        <v>4</v>
      </c>
      <c r="L307" s="3">
        <v>220</v>
      </c>
      <c r="M307" s="3">
        <v>0</v>
      </c>
      <c r="N307" s="3">
        <v>880</v>
      </c>
      <c r="O307" s="3">
        <v>247.59</v>
      </c>
      <c r="P307" s="3" t="s">
        <v>37</v>
      </c>
      <c r="Q307" s="3" t="s">
        <v>28</v>
      </c>
    </row>
    <row r="308" spans="1:17" x14ac:dyDescent="0.35">
      <c r="A308" s="2" t="s">
        <v>701</v>
      </c>
      <c r="B308" s="2" t="s">
        <v>207</v>
      </c>
      <c r="C308" s="2" t="s">
        <v>117</v>
      </c>
      <c r="D308" s="2" t="s">
        <v>20</v>
      </c>
      <c r="E308" s="2" t="s">
        <v>181</v>
      </c>
      <c r="F308" s="2" t="s">
        <v>56</v>
      </c>
      <c r="G308" s="2" t="s">
        <v>48</v>
      </c>
      <c r="H308" s="2" t="s">
        <v>49</v>
      </c>
      <c r="I308" s="2" t="s">
        <v>25</v>
      </c>
      <c r="J308" s="2" t="s">
        <v>237</v>
      </c>
      <c r="K308" s="2">
        <v>2</v>
      </c>
      <c r="L308" s="2">
        <v>22000</v>
      </c>
      <c r="M308" s="2">
        <v>5</v>
      </c>
      <c r="N308" s="2">
        <v>41800</v>
      </c>
      <c r="O308" s="2">
        <v>4860.67</v>
      </c>
      <c r="P308" s="2" t="s">
        <v>37</v>
      </c>
      <c r="Q308" s="2" t="s">
        <v>28</v>
      </c>
    </row>
    <row r="309" spans="1:17" x14ac:dyDescent="0.35">
      <c r="A309" s="3" t="s">
        <v>702</v>
      </c>
      <c r="B309" s="3" t="s">
        <v>703</v>
      </c>
      <c r="C309" s="3" t="s">
        <v>46</v>
      </c>
      <c r="D309" s="3" t="s">
        <v>20</v>
      </c>
      <c r="E309" s="3" t="s">
        <v>443</v>
      </c>
      <c r="F309" s="3" t="s">
        <v>22</v>
      </c>
      <c r="G309" s="3" t="s">
        <v>23</v>
      </c>
      <c r="H309" s="3" t="s">
        <v>34</v>
      </c>
      <c r="I309" s="3" t="s">
        <v>42</v>
      </c>
      <c r="J309" s="3" t="s">
        <v>149</v>
      </c>
      <c r="K309" s="3">
        <v>7</v>
      </c>
      <c r="L309" s="3">
        <v>180</v>
      </c>
      <c r="M309" s="3">
        <v>15</v>
      </c>
      <c r="N309" s="3">
        <v>1071</v>
      </c>
      <c r="O309" s="3">
        <v>305.3</v>
      </c>
      <c r="P309" s="3" t="s">
        <v>27</v>
      </c>
      <c r="Q309" s="3" t="s">
        <v>28</v>
      </c>
    </row>
    <row r="310" spans="1:17" x14ac:dyDescent="0.35">
      <c r="A310" s="2" t="s">
        <v>704</v>
      </c>
      <c r="B310" s="2" t="s">
        <v>423</v>
      </c>
      <c r="C310" s="2" t="s">
        <v>54</v>
      </c>
      <c r="D310" s="2" t="s">
        <v>20</v>
      </c>
      <c r="E310" s="2" t="s">
        <v>65</v>
      </c>
      <c r="F310" s="2" t="s">
        <v>33</v>
      </c>
      <c r="G310" s="2" t="s">
        <v>73</v>
      </c>
      <c r="H310" s="2" t="s">
        <v>105</v>
      </c>
      <c r="I310" s="2" t="s">
        <v>80</v>
      </c>
      <c r="J310" s="2" t="s">
        <v>81</v>
      </c>
      <c r="K310" s="2">
        <v>1</v>
      </c>
      <c r="L310" s="2">
        <v>950</v>
      </c>
      <c r="M310" s="2">
        <v>5</v>
      </c>
      <c r="N310" s="2">
        <v>902.5</v>
      </c>
      <c r="O310" s="2">
        <v>119.17</v>
      </c>
      <c r="P310" s="2" t="s">
        <v>27</v>
      </c>
      <c r="Q310" s="2" t="s">
        <v>28</v>
      </c>
    </row>
    <row r="311" spans="1:17" x14ac:dyDescent="0.35">
      <c r="A311" s="3" t="s">
        <v>705</v>
      </c>
      <c r="B311" s="3" t="s">
        <v>186</v>
      </c>
      <c r="C311" s="3" t="s">
        <v>161</v>
      </c>
      <c r="D311" s="3" t="s">
        <v>20</v>
      </c>
      <c r="E311" s="3" t="s">
        <v>152</v>
      </c>
      <c r="F311" s="3" t="s">
        <v>33</v>
      </c>
      <c r="G311" s="3" t="s">
        <v>48</v>
      </c>
      <c r="H311" s="3" t="s">
        <v>57</v>
      </c>
      <c r="I311" s="3" t="s">
        <v>25</v>
      </c>
      <c r="J311" s="3" t="s">
        <v>62</v>
      </c>
      <c r="K311" s="3">
        <v>8</v>
      </c>
      <c r="L311" s="3">
        <v>3200</v>
      </c>
      <c r="M311" s="3">
        <v>20</v>
      </c>
      <c r="N311" s="3">
        <v>20480</v>
      </c>
      <c r="O311" s="3">
        <v>3833.33</v>
      </c>
      <c r="P311" s="3" t="s">
        <v>27</v>
      </c>
      <c r="Q311" s="3" t="s">
        <v>28</v>
      </c>
    </row>
    <row r="312" spans="1:17" x14ac:dyDescent="0.35">
      <c r="A312" s="2" t="s">
        <v>706</v>
      </c>
      <c r="B312" s="2" t="s">
        <v>707</v>
      </c>
      <c r="C312" s="2" t="s">
        <v>134</v>
      </c>
      <c r="D312" s="2" t="s">
        <v>20</v>
      </c>
      <c r="E312" s="2" t="s">
        <v>554</v>
      </c>
      <c r="F312" s="2" t="s">
        <v>56</v>
      </c>
      <c r="G312" s="2" t="s">
        <v>73</v>
      </c>
      <c r="H312" s="2" t="s">
        <v>105</v>
      </c>
      <c r="I312" s="2" t="s">
        <v>42</v>
      </c>
      <c r="J312" s="2" t="s">
        <v>184</v>
      </c>
      <c r="K312" s="2">
        <v>9</v>
      </c>
      <c r="L312" s="2">
        <v>120</v>
      </c>
      <c r="M312" s="2">
        <v>10</v>
      </c>
      <c r="N312" s="2">
        <v>972</v>
      </c>
      <c r="O312" s="2">
        <v>168.1</v>
      </c>
      <c r="P312" s="2" t="s">
        <v>27</v>
      </c>
      <c r="Q312" s="2" t="s">
        <v>28</v>
      </c>
    </row>
    <row r="313" spans="1:17" x14ac:dyDescent="0.35">
      <c r="A313" s="3" t="s">
        <v>708</v>
      </c>
      <c r="B313" s="3" t="s">
        <v>709</v>
      </c>
      <c r="C313" s="3" t="s">
        <v>71</v>
      </c>
      <c r="D313" s="3" t="s">
        <v>20</v>
      </c>
      <c r="E313" s="3" t="s">
        <v>562</v>
      </c>
      <c r="F313" s="3" t="s">
        <v>22</v>
      </c>
      <c r="G313" s="3" t="s">
        <v>66</v>
      </c>
      <c r="H313" s="3" t="s">
        <v>67</v>
      </c>
      <c r="I313" s="3" t="s">
        <v>35</v>
      </c>
      <c r="J313" s="3" t="s">
        <v>126</v>
      </c>
      <c r="K313" s="3">
        <v>4</v>
      </c>
      <c r="L313" s="3">
        <v>1299</v>
      </c>
      <c r="M313" s="3">
        <v>10</v>
      </c>
      <c r="N313" s="3">
        <v>4676.3999999999996</v>
      </c>
      <c r="O313" s="3">
        <v>1196.82</v>
      </c>
      <c r="P313" s="3" t="s">
        <v>27</v>
      </c>
      <c r="Q313" s="3" t="s">
        <v>28</v>
      </c>
    </row>
    <row r="314" spans="1:17" x14ac:dyDescent="0.35">
      <c r="A314" s="2" t="s">
        <v>710</v>
      </c>
      <c r="B314" s="2" t="s">
        <v>711</v>
      </c>
      <c r="C314" s="2" t="s">
        <v>40</v>
      </c>
      <c r="D314" s="2" t="s">
        <v>20</v>
      </c>
      <c r="E314" s="2" t="s">
        <v>41</v>
      </c>
      <c r="F314" s="2" t="s">
        <v>56</v>
      </c>
      <c r="G314" s="2" t="s">
        <v>66</v>
      </c>
      <c r="H314" s="2" t="s">
        <v>67</v>
      </c>
      <c r="I314" s="2" t="s">
        <v>80</v>
      </c>
      <c r="J314" s="2" t="s">
        <v>89</v>
      </c>
      <c r="K314" s="2">
        <v>4</v>
      </c>
      <c r="L314" s="2">
        <v>1500</v>
      </c>
      <c r="M314" s="2">
        <v>10</v>
      </c>
      <c r="N314" s="2">
        <v>5400</v>
      </c>
      <c r="O314" s="2">
        <v>1318.97</v>
      </c>
      <c r="P314" s="2" t="s">
        <v>37</v>
      </c>
      <c r="Q314" s="2" t="s">
        <v>82</v>
      </c>
    </row>
    <row r="315" spans="1:17" x14ac:dyDescent="0.35">
      <c r="A315" s="3" t="s">
        <v>712</v>
      </c>
      <c r="B315" s="3" t="s">
        <v>447</v>
      </c>
      <c r="C315" s="3" t="s">
        <v>46</v>
      </c>
      <c r="D315" s="3" t="s">
        <v>20</v>
      </c>
      <c r="E315" s="3" t="s">
        <v>509</v>
      </c>
      <c r="F315" s="3" t="s">
        <v>33</v>
      </c>
      <c r="G315" s="3" t="s">
        <v>73</v>
      </c>
      <c r="H315" s="3" t="s">
        <v>74</v>
      </c>
      <c r="I315" s="3" t="s">
        <v>35</v>
      </c>
      <c r="J315" s="3" t="s">
        <v>172</v>
      </c>
      <c r="K315" s="3">
        <v>5</v>
      </c>
      <c r="L315" s="3">
        <v>2499</v>
      </c>
      <c r="M315" s="3">
        <v>20</v>
      </c>
      <c r="N315" s="3">
        <v>9996</v>
      </c>
      <c r="O315" s="3">
        <v>3024.43</v>
      </c>
      <c r="P315" s="3" t="s">
        <v>27</v>
      </c>
      <c r="Q315" s="3" t="s">
        <v>82</v>
      </c>
    </row>
    <row r="316" spans="1:17" x14ac:dyDescent="0.35">
      <c r="A316" s="2" t="s">
        <v>713</v>
      </c>
      <c r="B316" s="2" t="s">
        <v>714</v>
      </c>
      <c r="C316" s="2" t="s">
        <v>134</v>
      </c>
      <c r="D316" s="2" t="s">
        <v>20</v>
      </c>
      <c r="E316" s="2" t="s">
        <v>155</v>
      </c>
      <c r="F316" s="2" t="s">
        <v>56</v>
      </c>
      <c r="G316" s="2" t="s">
        <v>48</v>
      </c>
      <c r="H316" s="2" t="s">
        <v>49</v>
      </c>
      <c r="I316" s="2" t="s">
        <v>25</v>
      </c>
      <c r="J316" s="2" t="s">
        <v>257</v>
      </c>
      <c r="K316" s="2">
        <v>8</v>
      </c>
      <c r="L316" s="2">
        <v>8500</v>
      </c>
      <c r="M316" s="2">
        <v>0</v>
      </c>
      <c r="N316" s="2">
        <v>68000</v>
      </c>
      <c r="O316" s="2">
        <v>11614.17</v>
      </c>
      <c r="P316" s="2" t="s">
        <v>37</v>
      </c>
      <c r="Q316" s="2" t="s">
        <v>28</v>
      </c>
    </row>
    <row r="317" spans="1:17" x14ac:dyDescent="0.35">
      <c r="A317" s="3" t="s">
        <v>715</v>
      </c>
      <c r="B317" s="3" t="s">
        <v>716</v>
      </c>
      <c r="C317" s="3" t="s">
        <v>31</v>
      </c>
      <c r="D317" s="3" t="s">
        <v>20</v>
      </c>
      <c r="E317" s="3" t="s">
        <v>137</v>
      </c>
      <c r="F317" s="3" t="s">
        <v>22</v>
      </c>
      <c r="G317" s="3" t="s">
        <v>48</v>
      </c>
      <c r="H317" s="3" t="s">
        <v>57</v>
      </c>
      <c r="I317" s="3" t="s">
        <v>35</v>
      </c>
      <c r="J317" s="3" t="s">
        <v>36</v>
      </c>
      <c r="K317" s="3">
        <v>4</v>
      </c>
      <c r="L317" s="3">
        <v>1999</v>
      </c>
      <c r="M317" s="3">
        <v>0</v>
      </c>
      <c r="N317" s="3">
        <v>7996</v>
      </c>
      <c r="O317" s="3">
        <v>2378.54</v>
      </c>
      <c r="P317" s="3" t="s">
        <v>37</v>
      </c>
      <c r="Q317" s="3" t="s">
        <v>28</v>
      </c>
    </row>
    <row r="318" spans="1:17" x14ac:dyDescent="0.35">
      <c r="A318" s="2" t="s">
        <v>717</v>
      </c>
      <c r="B318" s="2" t="s">
        <v>305</v>
      </c>
      <c r="C318" s="2" t="s">
        <v>256</v>
      </c>
      <c r="D318" s="2" t="s">
        <v>20</v>
      </c>
      <c r="E318" s="2" t="s">
        <v>250</v>
      </c>
      <c r="F318" s="2" t="s">
        <v>56</v>
      </c>
      <c r="G318" s="2" t="s">
        <v>23</v>
      </c>
      <c r="H318" s="2" t="s">
        <v>131</v>
      </c>
      <c r="I318" s="2" t="s">
        <v>25</v>
      </c>
      <c r="J318" s="2" t="s">
        <v>62</v>
      </c>
      <c r="K318" s="2">
        <v>7</v>
      </c>
      <c r="L318" s="2">
        <v>3200</v>
      </c>
      <c r="M318" s="2">
        <v>15</v>
      </c>
      <c r="N318" s="2">
        <v>19040</v>
      </c>
      <c r="O318" s="2">
        <v>3519.24</v>
      </c>
      <c r="P318" s="2" t="s">
        <v>27</v>
      </c>
      <c r="Q318" s="2" t="s">
        <v>28</v>
      </c>
    </row>
    <row r="319" spans="1:17" x14ac:dyDescent="0.35">
      <c r="A319" s="3" t="s">
        <v>718</v>
      </c>
      <c r="B319" s="3" t="s">
        <v>719</v>
      </c>
      <c r="C319" s="3" t="s">
        <v>129</v>
      </c>
      <c r="D319" s="3" t="s">
        <v>20</v>
      </c>
      <c r="E319" s="3" t="s">
        <v>162</v>
      </c>
      <c r="F319" s="3" t="s">
        <v>33</v>
      </c>
      <c r="G319" s="3" t="s">
        <v>73</v>
      </c>
      <c r="H319" s="3" t="s">
        <v>74</v>
      </c>
      <c r="I319" s="3" t="s">
        <v>80</v>
      </c>
      <c r="J319" s="3" t="s">
        <v>240</v>
      </c>
      <c r="K319" s="3">
        <v>3</v>
      </c>
      <c r="L319" s="3">
        <v>600</v>
      </c>
      <c r="M319" s="3">
        <v>20</v>
      </c>
      <c r="N319" s="3">
        <v>1440</v>
      </c>
      <c r="O319" s="3">
        <v>185.63</v>
      </c>
      <c r="P319" s="3" t="s">
        <v>37</v>
      </c>
      <c r="Q319" s="3" t="s">
        <v>28</v>
      </c>
    </row>
    <row r="320" spans="1:17" x14ac:dyDescent="0.35">
      <c r="A320" s="2" t="s">
        <v>720</v>
      </c>
      <c r="B320" s="2" t="s">
        <v>464</v>
      </c>
      <c r="C320" s="2" t="s">
        <v>40</v>
      </c>
      <c r="D320" s="2" t="s">
        <v>20</v>
      </c>
      <c r="E320" s="2" t="s">
        <v>152</v>
      </c>
      <c r="F320" s="2" t="s">
        <v>56</v>
      </c>
      <c r="G320" s="2" t="s">
        <v>66</v>
      </c>
      <c r="H320" s="2" t="s">
        <v>98</v>
      </c>
      <c r="I320" s="2" t="s">
        <v>50</v>
      </c>
      <c r="J320" s="2" t="s">
        <v>75</v>
      </c>
      <c r="K320" s="2">
        <v>6</v>
      </c>
      <c r="L320" s="2">
        <v>45000</v>
      </c>
      <c r="M320" s="2">
        <v>5</v>
      </c>
      <c r="N320" s="2">
        <v>256500</v>
      </c>
      <c r="O320" s="2">
        <v>72060.259999999995</v>
      </c>
      <c r="P320" s="2" t="s">
        <v>37</v>
      </c>
      <c r="Q320" s="2" t="s">
        <v>28</v>
      </c>
    </row>
    <row r="321" spans="1:17" x14ac:dyDescent="0.35">
      <c r="A321" s="3" t="s">
        <v>721</v>
      </c>
      <c r="B321" s="3" t="s">
        <v>722</v>
      </c>
      <c r="C321" s="3" t="s">
        <v>31</v>
      </c>
      <c r="D321" s="3" t="s">
        <v>20</v>
      </c>
      <c r="E321" s="3" t="s">
        <v>253</v>
      </c>
      <c r="F321" s="3" t="s">
        <v>56</v>
      </c>
      <c r="G321" s="3" t="s">
        <v>48</v>
      </c>
      <c r="H321" s="3" t="s">
        <v>109</v>
      </c>
      <c r="I321" s="3" t="s">
        <v>50</v>
      </c>
      <c r="J321" s="3" t="s">
        <v>51</v>
      </c>
      <c r="K321" s="3">
        <v>1</v>
      </c>
      <c r="L321" s="3">
        <v>32000</v>
      </c>
      <c r="M321" s="3">
        <v>20</v>
      </c>
      <c r="N321" s="3">
        <v>25600</v>
      </c>
      <c r="O321" s="3">
        <v>6059.12</v>
      </c>
      <c r="P321" s="3" t="s">
        <v>27</v>
      </c>
      <c r="Q321" s="3" t="s">
        <v>28</v>
      </c>
    </row>
    <row r="322" spans="1:17" x14ac:dyDescent="0.35">
      <c r="A322" s="2" t="s">
        <v>723</v>
      </c>
      <c r="B322" s="2" t="s">
        <v>609</v>
      </c>
      <c r="C322" s="2" t="s">
        <v>40</v>
      </c>
      <c r="D322" s="2" t="s">
        <v>20</v>
      </c>
      <c r="E322" s="2" t="s">
        <v>72</v>
      </c>
      <c r="F322" s="2" t="s">
        <v>22</v>
      </c>
      <c r="G322" s="2" t="s">
        <v>73</v>
      </c>
      <c r="H322" s="2" t="s">
        <v>74</v>
      </c>
      <c r="I322" s="2" t="s">
        <v>42</v>
      </c>
      <c r="J322" s="2" t="s">
        <v>187</v>
      </c>
      <c r="K322" s="2">
        <v>3</v>
      </c>
      <c r="L322" s="2">
        <v>350</v>
      </c>
      <c r="M322" s="2">
        <v>5</v>
      </c>
      <c r="N322" s="2">
        <v>997.5</v>
      </c>
      <c r="O322" s="2">
        <v>347.06</v>
      </c>
      <c r="P322" s="2" t="s">
        <v>37</v>
      </c>
      <c r="Q322" s="2" t="s">
        <v>28</v>
      </c>
    </row>
    <row r="323" spans="1:17" x14ac:dyDescent="0.35">
      <c r="A323" s="3" t="s">
        <v>724</v>
      </c>
      <c r="B323" s="3" t="s">
        <v>725</v>
      </c>
      <c r="C323" s="3" t="s">
        <v>256</v>
      </c>
      <c r="D323" s="3" t="s">
        <v>20</v>
      </c>
      <c r="E323" s="3" t="s">
        <v>482</v>
      </c>
      <c r="F323" s="3" t="s">
        <v>56</v>
      </c>
      <c r="G323" s="3" t="s">
        <v>66</v>
      </c>
      <c r="H323" s="3" t="s">
        <v>114</v>
      </c>
      <c r="I323" s="3" t="s">
        <v>42</v>
      </c>
      <c r="J323" s="3" t="s">
        <v>43</v>
      </c>
      <c r="K323" s="3">
        <v>3</v>
      </c>
      <c r="L323" s="3">
        <v>220</v>
      </c>
      <c r="M323" s="3">
        <v>10</v>
      </c>
      <c r="N323" s="3">
        <v>594</v>
      </c>
      <c r="O323" s="3">
        <v>149.28</v>
      </c>
      <c r="P323" s="3" t="s">
        <v>37</v>
      </c>
      <c r="Q323" s="3" t="s">
        <v>28</v>
      </c>
    </row>
    <row r="324" spans="1:17" x14ac:dyDescent="0.35">
      <c r="A324" s="2" t="s">
        <v>726</v>
      </c>
      <c r="B324" s="2" t="s">
        <v>358</v>
      </c>
      <c r="C324" s="2" t="s">
        <v>117</v>
      </c>
      <c r="D324" s="2" t="s">
        <v>20</v>
      </c>
      <c r="E324" s="2" t="s">
        <v>421</v>
      </c>
      <c r="F324" s="2" t="s">
        <v>56</v>
      </c>
      <c r="G324" s="2" t="s">
        <v>66</v>
      </c>
      <c r="H324" s="2" t="s">
        <v>67</v>
      </c>
      <c r="I324" s="2" t="s">
        <v>42</v>
      </c>
      <c r="J324" s="2" t="s">
        <v>187</v>
      </c>
      <c r="K324" s="2">
        <v>3</v>
      </c>
      <c r="L324" s="2">
        <v>350</v>
      </c>
      <c r="M324" s="2">
        <v>20</v>
      </c>
      <c r="N324" s="2">
        <v>840</v>
      </c>
      <c r="O324" s="2">
        <v>165.57</v>
      </c>
      <c r="P324" s="2" t="s">
        <v>37</v>
      </c>
      <c r="Q324" s="2" t="s">
        <v>28</v>
      </c>
    </row>
    <row r="325" spans="1:17" x14ac:dyDescent="0.35">
      <c r="A325" s="3" t="s">
        <v>727</v>
      </c>
      <c r="B325" s="3" t="s">
        <v>18</v>
      </c>
      <c r="C325" s="3" t="s">
        <v>19</v>
      </c>
      <c r="D325" s="3" t="s">
        <v>20</v>
      </c>
      <c r="E325" s="3" t="s">
        <v>181</v>
      </c>
      <c r="F325" s="3" t="s">
        <v>22</v>
      </c>
      <c r="G325" s="3" t="s">
        <v>23</v>
      </c>
      <c r="H325" s="3" t="s">
        <v>34</v>
      </c>
      <c r="I325" s="3" t="s">
        <v>25</v>
      </c>
      <c r="J325" s="3" t="s">
        <v>257</v>
      </c>
      <c r="K325" s="3">
        <v>6</v>
      </c>
      <c r="L325" s="3">
        <v>8500</v>
      </c>
      <c r="M325" s="3">
        <v>20</v>
      </c>
      <c r="N325" s="3">
        <v>40800</v>
      </c>
      <c r="O325" s="3">
        <v>5363.39</v>
      </c>
      <c r="P325" s="3" t="s">
        <v>27</v>
      </c>
      <c r="Q325" s="3" t="s">
        <v>28</v>
      </c>
    </row>
    <row r="326" spans="1:17" x14ac:dyDescent="0.35">
      <c r="A326" s="2" t="s">
        <v>728</v>
      </c>
      <c r="B326" s="2" t="s">
        <v>729</v>
      </c>
      <c r="C326" s="2" t="s">
        <v>161</v>
      </c>
      <c r="D326" s="2" t="s">
        <v>20</v>
      </c>
      <c r="E326" s="2" t="s">
        <v>455</v>
      </c>
      <c r="F326" s="2" t="s">
        <v>33</v>
      </c>
      <c r="G326" s="2" t="s">
        <v>48</v>
      </c>
      <c r="H326" s="2" t="s">
        <v>49</v>
      </c>
      <c r="I326" s="2" t="s">
        <v>35</v>
      </c>
      <c r="J326" s="2" t="s">
        <v>205</v>
      </c>
      <c r="K326" s="2">
        <v>7</v>
      </c>
      <c r="L326" s="2">
        <v>499</v>
      </c>
      <c r="M326" s="2">
        <v>20</v>
      </c>
      <c r="N326" s="2">
        <v>2794.4</v>
      </c>
      <c r="O326" s="2">
        <v>667.7</v>
      </c>
      <c r="P326" s="2" t="s">
        <v>27</v>
      </c>
      <c r="Q326" s="2" t="s">
        <v>82</v>
      </c>
    </row>
    <row r="327" spans="1:17" x14ac:dyDescent="0.35">
      <c r="A327" s="3" t="s">
        <v>730</v>
      </c>
      <c r="B327" s="3" t="s">
        <v>731</v>
      </c>
      <c r="C327" s="3" t="s">
        <v>54</v>
      </c>
      <c r="D327" s="3" t="s">
        <v>20</v>
      </c>
      <c r="E327" s="3" t="s">
        <v>550</v>
      </c>
      <c r="F327" s="3" t="s">
        <v>56</v>
      </c>
      <c r="G327" s="3" t="s">
        <v>73</v>
      </c>
      <c r="H327" s="3" t="s">
        <v>74</v>
      </c>
      <c r="I327" s="3" t="s">
        <v>42</v>
      </c>
      <c r="J327" s="3" t="s">
        <v>149</v>
      </c>
      <c r="K327" s="3">
        <v>6</v>
      </c>
      <c r="L327" s="3">
        <v>180</v>
      </c>
      <c r="M327" s="3">
        <v>15</v>
      </c>
      <c r="N327" s="3">
        <v>918</v>
      </c>
      <c r="O327" s="3">
        <v>162.47999999999999</v>
      </c>
      <c r="P327" s="3" t="s">
        <v>27</v>
      </c>
      <c r="Q327" s="3" t="s">
        <v>28</v>
      </c>
    </row>
    <row r="328" spans="1:17" x14ac:dyDescent="0.35">
      <c r="A328" s="2" t="s">
        <v>732</v>
      </c>
      <c r="B328" s="2" t="s">
        <v>733</v>
      </c>
      <c r="C328" s="2" t="s">
        <v>19</v>
      </c>
      <c r="D328" s="2" t="s">
        <v>20</v>
      </c>
      <c r="E328" s="2" t="s">
        <v>61</v>
      </c>
      <c r="F328" s="2" t="s">
        <v>56</v>
      </c>
      <c r="G328" s="2" t="s">
        <v>66</v>
      </c>
      <c r="H328" s="2" t="s">
        <v>67</v>
      </c>
      <c r="I328" s="2" t="s">
        <v>50</v>
      </c>
      <c r="J328" s="2" t="s">
        <v>142</v>
      </c>
      <c r="K328" s="2">
        <v>9</v>
      </c>
      <c r="L328" s="2">
        <v>15000</v>
      </c>
      <c r="M328" s="2">
        <v>5</v>
      </c>
      <c r="N328" s="2">
        <v>128250</v>
      </c>
      <c r="O328" s="2">
        <v>14524.79</v>
      </c>
      <c r="P328" s="2" t="s">
        <v>27</v>
      </c>
      <c r="Q328" s="2" t="s">
        <v>28</v>
      </c>
    </row>
    <row r="329" spans="1:17" x14ac:dyDescent="0.35">
      <c r="A329" s="3" t="s">
        <v>734</v>
      </c>
      <c r="B329" s="3" t="s">
        <v>189</v>
      </c>
      <c r="C329" s="3" t="s">
        <v>46</v>
      </c>
      <c r="D329" s="3" t="s">
        <v>20</v>
      </c>
      <c r="E329" s="3" t="s">
        <v>260</v>
      </c>
      <c r="F329" s="3" t="s">
        <v>22</v>
      </c>
      <c r="G329" s="3" t="s">
        <v>23</v>
      </c>
      <c r="H329" s="3" t="s">
        <v>24</v>
      </c>
      <c r="I329" s="3" t="s">
        <v>50</v>
      </c>
      <c r="J329" s="3" t="s">
        <v>58</v>
      </c>
      <c r="K329" s="3">
        <v>1</v>
      </c>
      <c r="L329" s="3">
        <v>18000</v>
      </c>
      <c r="M329" s="3">
        <v>0</v>
      </c>
      <c r="N329" s="3">
        <v>18000</v>
      </c>
      <c r="O329" s="3">
        <v>3465.53</v>
      </c>
      <c r="P329" s="3" t="s">
        <v>27</v>
      </c>
      <c r="Q329" s="3" t="s">
        <v>28</v>
      </c>
    </row>
    <row r="330" spans="1:17" x14ac:dyDescent="0.35">
      <c r="A330" s="2" t="s">
        <v>735</v>
      </c>
      <c r="B330" s="2" t="s">
        <v>736</v>
      </c>
      <c r="C330" s="2" t="s">
        <v>134</v>
      </c>
      <c r="D330" s="2" t="s">
        <v>20</v>
      </c>
      <c r="E330" s="2" t="s">
        <v>229</v>
      </c>
      <c r="F330" s="2" t="s">
        <v>56</v>
      </c>
      <c r="G330" s="2" t="s">
        <v>66</v>
      </c>
      <c r="H330" s="2" t="s">
        <v>67</v>
      </c>
      <c r="I330" s="2" t="s">
        <v>50</v>
      </c>
      <c r="J330" s="2" t="s">
        <v>198</v>
      </c>
      <c r="K330" s="2">
        <v>7</v>
      </c>
      <c r="L330" s="2">
        <v>2500</v>
      </c>
      <c r="M330" s="2">
        <v>0</v>
      </c>
      <c r="N330" s="2">
        <v>17500</v>
      </c>
      <c r="O330" s="2">
        <v>4530.2299999999996</v>
      </c>
      <c r="P330" s="2" t="s">
        <v>27</v>
      </c>
      <c r="Q330" s="2" t="s">
        <v>28</v>
      </c>
    </row>
    <row r="331" spans="1:17" x14ac:dyDescent="0.35">
      <c r="A331" s="3" t="s">
        <v>737</v>
      </c>
      <c r="B331" s="3" t="s">
        <v>631</v>
      </c>
      <c r="C331" s="3" t="s">
        <v>134</v>
      </c>
      <c r="D331" s="3" t="s">
        <v>20</v>
      </c>
      <c r="E331" s="3" t="s">
        <v>388</v>
      </c>
      <c r="F331" s="3" t="s">
        <v>56</v>
      </c>
      <c r="G331" s="3" t="s">
        <v>23</v>
      </c>
      <c r="H331" s="3" t="s">
        <v>194</v>
      </c>
      <c r="I331" s="3" t="s">
        <v>50</v>
      </c>
      <c r="J331" s="3" t="s">
        <v>58</v>
      </c>
      <c r="K331" s="3">
        <v>8</v>
      </c>
      <c r="L331" s="3">
        <v>18000</v>
      </c>
      <c r="M331" s="3">
        <v>5</v>
      </c>
      <c r="N331" s="3">
        <v>136800</v>
      </c>
      <c r="O331" s="3">
        <v>33438.089999999997</v>
      </c>
      <c r="P331" s="3" t="s">
        <v>27</v>
      </c>
      <c r="Q331" s="3" t="s">
        <v>28</v>
      </c>
    </row>
    <row r="332" spans="1:17" x14ac:dyDescent="0.35">
      <c r="A332" s="2" t="s">
        <v>738</v>
      </c>
      <c r="B332" s="2" t="s">
        <v>739</v>
      </c>
      <c r="C332" s="2" t="s">
        <v>256</v>
      </c>
      <c r="D332" s="2" t="s">
        <v>20</v>
      </c>
      <c r="E332" s="2" t="s">
        <v>354</v>
      </c>
      <c r="F332" s="2" t="s">
        <v>22</v>
      </c>
      <c r="G332" s="2" t="s">
        <v>66</v>
      </c>
      <c r="H332" s="2" t="s">
        <v>114</v>
      </c>
      <c r="I332" s="2" t="s">
        <v>80</v>
      </c>
      <c r="J332" s="2" t="s">
        <v>110</v>
      </c>
      <c r="K332" s="2">
        <v>4</v>
      </c>
      <c r="L332" s="2">
        <v>1200</v>
      </c>
      <c r="M332" s="2">
        <v>15</v>
      </c>
      <c r="N332" s="2">
        <v>4080</v>
      </c>
      <c r="O332" s="2">
        <v>690.59</v>
      </c>
      <c r="P332" s="2" t="s">
        <v>27</v>
      </c>
      <c r="Q332" s="2" t="s">
        <v>82</v>
      </c>
    </row>
    <row r="333" spans="1:17" x14ac:dyDescent="0.35">
      <c r="A333" s="3" t="s">
        <v>740</v>
      </c>
      <c r="B333" s="3" t="s">
        <v>661</v>
      </c>
      <c r="C333" s="3" t="s">
        <v>31</v>
      </c>
      <c r="D333" s="3" t="s">
        <v>20</v>
      </c>
      <c r="E333" s="3" t="s">
        <v>47</v>
      </c>
      <c r="F333" s="3" t="s">
        <v>56</v>
      </c>
      <c r="G333" s="3" t="s">
        <v>73</v>
      </c>
      <c r="H333" s="3" t="s">
        <v>105</v>
      </c>
      <c r="I333" s="3" t="s">
        <v>50</v>
      </c>
      <c r="J333" s="3" t="s">
        <v>142</v>
      </c>
      <c r="K333" s="3">
        <v>2</v>
      </c>
      <c r="L333" s="3">
        <v>15000</v>
      </c>
      <c r="M333" s="3">
        <v>0</v>
      </c>
      <c r="N333" s="3">
        <v>30000</v>
      </c>
      <c r="O333" s="3">
        <v>9728.7099999999991</v>
      </c>
      <c r="P333" s="3" t="s">
        <v>27</v>
      </c>
      <c r="Q333" s="3" t="s">
        <v>28</v>
      </c>
    </row>
    <row r="334" spans="1:17" x14ac:dyDescent="0.35">
      <c r="A334" s="2" t="s">
        <v>741</v>
      </c>
      <c r="B334" s="2" t="s">
        <v>742</v>
      </c>
      <c r="C334" s="2" t="s">
        <v>40</v>
      </c>
      <c r="D334" s="2" t="s">
        <v>20</v>
      </c>
      <c r="E334" s="2" t="s">
        <v>226</v>
      </c>
      <c r="F334" s="2" t="s">
        <v>22</v>
      </c>
      <c r="G334" s="2" t="s">
        <v>23</v>
      </c>
      <c r="H334" s="2" t="s">
        <v>24</v>
      </c>
      <c r="I334" s="2" t="s">
        <v>35</v>
      </c>
      <c r="J334" s="2" t="s">
        <v>205</v>
      </c>
      <c r="K334" s="2">
        <v>5</v>
      </c>
      <c r="L334" s="2">
        <v>499</v>
      </c>
      <c r="M334" s="2">
        <v>10</v>
      </c>
      <c r="N334" s="2">
        <v>2245.5</v>
      </c>
      <c r="O334" s="2">
        <v>665.64</v>
      </c>
      <c r="P334" s="2" t="s">
        <v>37</v>
      </c>
      <c r="Q334" s="2" t="s">
        <v>28</v>
      </c>
    </row>
    <row r="335" spans="1:17" x14ac:dyDescent="0.35">
      <c r="A335" s="3" t="s">
        <v>743</v>
      </c>
      <c r="B335" s="3" t="s">
        <v>639</v>
      </c>
      <c r="C335" s="3" t="s">
        <v>31</v>
      </c>
      <c r="D335" s="3" t="s">
        <v>20</v>
      </c>
      <c r="E335" s="3" t="s">
        <v>354</v>
      </c>
      <c r="F335" s="3" t="s">
        <v>22</v>
      </c>
      <c r="G335" s="3" t="s">
        <v>23</v>
      </c>
      <c r="H335" s="3" t="s">
        <v>24</v>
      </c>
      <c r="I335" s="3" t="s">
        <v>35</v>
      </c>
      <c r="J335" s="3" t="s">
        <v>126</v>
      </c>
      <c r="K335" s="3">
        <v>6</v>
      </c>
      <c r="L335" s="3">
        <v>1299</v>
      </c>
      <c r="M335" s="3">
        <v>10</v>
      </c>
      <c r="N335" s="3">
        <v>7014.6</v>
      </c>
      <c r="O335" s="3">
        <v>2255.35</v>
      </c>
      <c r="P335" s="3" t="s">
        <v>37</v>
      </c>
      <c r="Q335" s="3" t="s">
        <v>28</v>
      </c>
    </row>
    <row r="336" spans="1:17" x14ac:dyDescent="0.35">
      <c r="A336" s="2" t="s">
        <v>744</v>
      </c>
      <c r="B336" s="2" t="s">
        <v>745</v>
      </c>
      <c r="C336" s="2" t="s">
        <v>46</v>
      </c>
      <c r="D336" s="2" t="s">
        <v>20</v>
      </c>
      <c r="E336" s="2" t="s">
        <v>503</v>
      </c>
      <c r="F336" s="2" t="s">
        <v>56</v>
      </c>
      <c r="G336" s="2" t="s">
        <v>48</v>
      </c>
      <c r="H336" s="2" t="s">
        <v>57</v>
      </c>
      <c r="I336" s="2" t="s">
        <v>50</v>
      </c>
      <c r="J336" s="2" t="s">
        <v>51</v>
      </c>
      <c r="K336" s="2">
        <v>7</v>
      </c>
      <c r="L336" s="2">
        <v>32000</v>
      </c>
      <c r="M336" s="2">
        <v>15</v>
      </c>
      <c r="N336" s="2">
        <v>190400</v>
      </c>
      <c r="O336" s="2">
        <v>29206.400000000001</v>
      </c>
      <c r="P336" s="2" t="s">
        <v>37</v>
      </c>
      <c r="Q336" s="2" t="s">
        <v>82</v>
      </c>
    </row>
    <row r="337" spans="1:17" x14ac:dyDescent="0.35">
      <c r="A337" s="3" t="s">
        <v>746</v>
      </c>
      <c r="B337" s="3" t="s">
        <v>747</v>
      </c>
      <c r="C337" s="3" t="s">
        <v>78</v>
      </c>
      <c r="D337" s="3" t="s">
        <v>20</v>
      </c>
      <c r="E337" s="3" t="s">
        <v>325</v>
      </c>
      <c r="F337" s="3" t="s">
        <v>22</v>
      </c>
      <c r="G337" s="3" t="s">
        <v>66</v>
      </c>
      <c r="H337" s="3" t="s">
        <v>114</v>
      </c>
      <c r="I337" s="3" t="s">
        <v>35</v>
      </c>
      <c r="J337" s="3" t="s">
        <v>205</v>
      </c>
      <c r="K337" s="3">
        <v>3</v>
      </c>
      <c r="L337" s="3">
        <v>499</v>
      </c>
      <c r="M337" s="3">
        <v>0</v>
      </c>
      <c r="N337" s="3">
        <v>1497</v>
      </c>
      <c r="O337" s="3">
        <v>287.91000000000003</v>
      </c>
      <c r="P337" s="3" t="s">
        <v>37</v>
      </c>
      <c r="Q337" s="3" t="s">
        <v>28</v>
      </c>
    </row>
    <row r="338" spans="1:17" x14ac:dyDescent="0.35">
      <c r="A338" s="2" t="s">
        <v>748</v>
      </c>
      <c r="B338" s="2" t="s">
        <v>749</v>
      </c>
      <c r="C338" s="2" t="s">
        <v>129</v>
      </c>
      <c r="D338" s="2" t="s">
        <v>20</v>
      </c>
      <c r="E338" s="2" t="s">
        <v>278</v>
      </c>
      <c r="F338" s="2" t="s">
        <v>56</v>
      </c>
      <c r="G338" s="2" t="s">
        <v>73</v>
      </c>
      <c r="H338" s="2" t="s">
        <v>74</v>
      </c>
      <c r="I338" s="2" t="s">
        <v>80</v>
      </c>
      <c r="J338" s="2" t="s">
        <v>89</v>
      </c>
      <c r="K338" s="2">
        <v>3</v>
      </c>
      <c r="L338" s="2">
        <v>1500</v>
      </c>
      <c r="M338" s="2">
        <v>15</v>
      </c>
      <c r="N338" s="2">
        <v>3825</v>
      </c>
      <c r="O338" s="2">
        <v>1256.54</v>
      </c>
      <c r="P338" s="2" t="s">
        <v>37</v>
      </c>
      <c r="Q338" s="2" t="s">
        <v>28</v>
      </c>
    </row>
    <row r="339" spans="1:17" x14ac:dyDescent="0.35">
      <c r="A339" s="3" t="s">
        <v>750</v>
      </c>
      <c r="B339" s="3" t="s">
        <v>751</v>
      </c>
      <c r="C339" s="3" t="s">
        <v>19</v>
      </c>
      <c r="D339" s="3" t="s">
        <v>20</v>
      </c>
      <c r="E339" s="3" t="s">
        <v>438</v>
      </c>
      <c r="F339" s="3" t="s">
        <v>22</v>
      </c>
      <c r="G339" s="3" t="s">
        <v>48</v>
      </c>
      <c r="H339" s="3" t="s">
        <v>169</v>
      </c>
      <c r="I339" s="3" t="s">
        <v>80</v>
      </c>
      <c r="J339" s="3" t="s">
        <v>81</v>
      </c>
      <c r="K339" s="3">
        <v>10</v>
      </c>
      <c r="L339" s="3">
        <v>950</v>
      </c>
      <c r="M339" s="3">
        <v>5</v>
      </c>
      <c r="N339" s="3">
        <v>9025</v>
      </c>
      <c r="O339" s="3">
        <v>3104.89</v>
      </c>
      <c r="P339" s="3" t="s">
        <v>37</v>
      </c>
      <c r="Q339" s="3" t="s">
        <v>28</v>
      </c>
    </row>
    <row r="340" spans="1:17" x14ac:dyDescent="0.35">
      <c r="A340" s="2" t="s">
        <v>752</v>
      </c>
      <c r="B340" s="2" t="s">
        <v>753</v>
      </c>
      <c r="C340" s="2" t="s">
        <v>78</v>
      </c>
      <c r="D340" s="2" t="s">
        <v>20</v>
      </c>
      <c r="E340" s="2" t="s">
        <v>390</v>
      </c>
      <c r="F340" s="2" t="s">
        <v>33</v>
      </c>
      <c r="G340" s="2" t="s">
        <v>23</v>
      </c>
      <c r="H340" s="2" t="s">
        <v>131</v>
      </c>
      <c r="I340" s="2" t="s">
        <v>35</v>
      </c>
      <c r="J340" s="2" t="s">
        <v>172</v>
      </c>
      <c r="K340" s="2">
        <v>6</v>
      </c>
      <c r="L340" s="2">
        <v>2499</v>
      </c>
      <c r="M340" s="2">
        <v>15</v>
      </c>
      <c r="N340" s="2">
        <v>12744.9</v>
      </c>
      <c r="O340" s="2">
        <v>1531.13</v>
      </c>
      <c r="P340" s="2" t="s">
        <v>27</v>
      </c>
      <c r="Q340" s="2" t="s">
        <v>82</v>
      </c>
    </row>
    <row r="341" spans="1:17" x14ac:dyDescent="0.35">
      <c r="A341" s="3" t="s">
        <v>754</v>
      </c>
      <c r="B341" s="3" t="s">
        <v>606</v>
      </c>
      <c r="C341" s="3" t="s">
        <v>134</v>
      </c>
      <c r="D341" s="3" t="s">
        <v>20</v>
      </c>
      <c r="E341" s="3" t="s">
        <v>79</v>
      </c>
      <c r="F341" s="3" t="s">
        <v>22</v>
      </c>
      <c r="G341" s="3" t="s">
        <v>73</v>
      </c>
      <c r="H341" s="3" t="s">
        <v>211</v>
      </c>
      <c r="I341" s="3" t="s">
        <v>35</v>
      </c>
      <c r="J341" s="3" t="s">
        <v>205</v>
      </c>
      <c r="K341" s="3">
        <v>8</v>
      </c>
      <c r="L341" s="3">
        <v>499</v>
      </c>
      <c r="M341" s="3">
        <v>10</v>
      </c>
      <c r="N341" s="3">
        <v>3592.8</v>
      </c>
      <c r="O341" s="3">
        <v>521.1</v>
      </c>
      <c r="P341" s="3" t="s">
        <v>27</v>
      </c>
      <c r="Q341" s="3" t="s">
        <v>28</v>
      </c>
    </row>
    <row r="342" spans="1:17" x14ac:dyDescent="0.35">
      <c r="A342" s="2" t="s">
        <v>755</v>
      </c>
      <c r="B342" s="2" t="s">
        <v>756</v>
      </c>
      <c r="C342" s="2" t="s">
        <v>117</v>
      </c>
      <c r="D342" s="2" t="s">
        <v>20</v>
      </c>
      <c r="E342" s="2" t="s">
        <v>32</v>
      </c>
      <c r="F342" s="2" t="s">
        <v>56</v>
      </c>
      <c r="G342" s="2" t="s">
        <v>73</v>
      </c>
      <c r="H342" s="2" t="s">
        <v>211</v>
      </c>
      <c r="I342" s="2" t="s">
        <v>35</v>
      </c>
      <c r="J342" s="2" t="s">
        <v>205</v>
      </c>
      <c r="K342" s="2">
        <v>8</v>
      </c>
      <c r="L342" s="2">
        <v>499</v>
      </c>
      <c r="M342" s="2">
        <v>15</v>
      </c>
      <c r="N342" s="2">
        <v>3393.2</v>
      </c>
      <c r="O342" s="2">
        <v>1005.54</v>
      </c>
      <c r="P342" s="2" t="s">
        <v>27</v>
      </c>
      <c r="Q342" s="2" t="s">
        <v>28</v>
      </c>
    </row>
    <row r="343" spans="1:17" x14ac:dyDescent="0.35">
      <c r="A343" s="3" t="s">
        <v>757</v>
      </c>
      <c r="B343" s="3" t="s">
        <v>283</v>
      </c>
      <c r="C343" s="3" t="s">
        <v>256</v>
      </c>
      <c r="D343" s="3" t="s">
        <v>20</v>
      </c>
      <c r="E343" s="3" t="s">
        <v>148</v>
      </c>
      <c r="F343" s="3" t="s">
        <v>22</v>
      </c>
      <c r="G343" s="3" t="s">
        <v>73</v>
      </c>
      <c r="H343" s="3" t="s">
        <v>93</v>
      </c>
      <c r="I343" s="3" t="s">
        <v>50</v>
      </c>
      <c r="J343" s="3" t="s">
        <v>51</v>
      </c>
      <c r="K343" s="3">
        <v>7</v>
      </c>
      <c r="L343" s="3">
        <v>32000</v>
      </c>
      <c r="M343" s="3">
        <v>0</v>
      </c>
      <c r="N343" s="3">
        <v>224000</v>
      </c>
      <c r="O343" s="3">
        <v>51615.28</v>
      </c>
      <c r="P343" s="3" t="s">
        <v>27</v>
      </c>
      <c r="Q343" s="3" t="s">
        <v>28</v>
      </c>
    </row>
    <row r="344" spans="1:17" x14ac:dyDescent="0.35">
      <c r="A344" s="2" t="s">
        <v>758</v>
      </c>
      <c r="B344" s="2" t="s">
        <v>112</v>
      </c>
      <c r="C344" s="2" t="s">
        <v>40</v>
      </c>
      <c r="D344" s="2" t="s">
        <v>20</v>
      </c>
      <c r="E344" s="2" t="s">
        <v>298</v>
      </c>
      <c r="F344" s="2" t="s">
        <v>22</v>
      </c>
      <c r="G344" s="2" t="s">
        <v>66</v>
      </c>
      <c r="H344" s="2" t="s">
        <v>86</v>
      </c>
      <c r="I344" s="2" t="s">
        <v>25</v>
      </c>
      <c r="J344" s="2" t="s">
        <v>62</v>
      </c>
      <c r="K344" s="2">
        <v>1</v>
      </c>
      <c r="L344" s="2">
        <v>3200</v>
      </c>
      <c r="M344" s="2">
        <v>5</v>
      </c>
      <c r="N344" s="2">
        <v>3040</v>
      </c>
      <c r="O344" s="2">
        <v>936.22</v>
      </c>
      <c r="P344" s="2" t="s">
        <v>37</v>
      </c>
      <c r="Q344" s="2" t="s">
        <v>28</v>
      </c>
    </row>
    <row r="345" spans="1:17" x14ac:dyDescent="0.35">
      <c r="A345" s="3" t="s">
        <v>759</v>
      </c>
      <c r="B345" s="3" t="s">
        <v>557</v>
      </c>
      <c r="C345" s="3" t="s">
        <v>31</v>
      </c>
      <c r="D345" s="3" t="s">
        <v>20</v>
      </c>
      <c r="E345" s="3" t="s">
        <v>438</v>
      </c>
      <c r="F345" s="3" t="s">
        <v>22</v>
      </c>
      <c r="G345" s="3" t="s">
        <v>73</v>
      </c>
      <c r="H345" s="3" t="s">
        <v>93</v>
      </c>
      <c r="I345" s="3" t="s">
        <v>50</v>
      </c>
      <c r="J345" s="3" t="s">
        <v>75</v>
      </c>
      <c r="K345" s="3">
        <v>1</v>
      </c>
      <c r="L345" s="3">
        <v>45000</v>
      </c>
      <c r="M345" s="3">
        <v>10</v>
      </c>
      <c r="N345" s="3">
        <v>40500</v>
      </c>
      <c r="O345" s="3">
        <v>7123.44</v>
      </c>
      <c r="P345" s="3" t="s">
        <v>37</v>
      </c>
      <c r="Q345" s="3" t="s">
        <v>28</v>
      </c>
    </row>
    <row r="346" spans="1:17" x14ac:dyDescent="0.35">
      <c r="A346" s="2" t="s">
        <v>760</v>
      </c>
      <c r="B346" s="2" t="s">
        <v>266</v>
      </c>
      <c r="C346" s="2" t="s">
        <v>31</v>
      </c>
      <c r="D346" s="2" t="s">
        <v>20</v>
      </c>
      <c r="E346" s="2" t="s">
        <v>141</v>
      </c>
      <c r="F346" s="2" t="s">
        <v>33</v>
      </c>
      <c r="G346" s="2" t="s">
        <v>23</v>
      </c>
      <c r="H346" s="2" t="s">
        <v>24</v>
      </c>
      <c r="I346" s="2" t="s">
        <v>35</v>
      </c>
      <c r="J346" s="2" t="s">
        <v>172</v>
      </c>
      <c r="K346" s="2">
        <v>3</v>
      </c>
      <c r="L346" s="2">
        <v>2499</v>
      </c>
      <c r="M346" s="2">
        <v>15</v>
      </c>
      <c r="N346" s="2">
        <v>6372.45</v>
      </c>
      <c r="O346" s="2">
        <v>693.83</v>
      </c>
      <c r="P346" s="2" t="s">
        <v>27</v>
      </c>
      <c r="Q346" s="2" t="s">
        <v>82</v>
      </c>
    </row>
    <row r="347" spans="1:17" x14ac:dyDescent="0.35">
      <c r="A347" s="3" t="s">
        <v>761</v>
      </c>
      <c r="B347" s="3" t="s">
        <v>762</v>
      </c>
      <c r="C347" s="3" t="s">
        <v>256</v>
      </c>
      <c r="D347" s="3" t="s">
        <v>20</v>
      </c>
      <c r="E347" s="3" t="s">
        <v>72</v>
      </c>
      <c r="F347" s="3" t="s">
        <v>56</v>
      </c>
      <c r="G347" s="3" t="s">
        <v>73</v>
      </c>
      <c r="H347" s="3" t="s">
        <v>105</v>
      </c>
      <c r="I347" s="3" t="s">
        <v>42</v>
      </c>
      <c r="J347" s="3" t="s">
        <v>149</v>
      </c>
      <c r="K347" s="3">
        <v>6</v>
      </c>
      <c r="L347" s="3">
        <v>180</v>
      </c>
      <c r="M347" s="3">
        <v>0</v>
      </c>
      <c r="N347" s="3">
        <v>1080</v>
      </c>
      <c r="O347" s="3">
        <v>307.18</v>
      </c>
      <c r="P347" s="3" t="s">
        <v>27</v>
      </c>
      <c r="Q347" s="3" t="s">
        <v>28</v>
      </c>
    </row>
    <row r="348" spans="1:17" x14ac:dyDescent="0.35">
      <c r="A348" s="2" t="s">
        <v>763</v>
      </c>
      <c r="B348" s="2" t="s">
        <v>665</v>
      </c>
      <c r="C348" s="2" t="s">
        <v>78</v>
      </c>
      <c r="D348" s="2" t="s">
        <v>20</v>
      </c>
      <c r="E348" s="2" t="s">
        <v>319</v>
      </c>
      <c r="F348" s="2" t="s">
        <v>22</v>
      </c>
      <c r="G348" s="2" t="s">
        <v>66</v>
      </c>
      <c r="H348" s="2" t="s">
        <v>86</v>
      </c>
      <c r="I348" s="2" t="s">
        <v>50</v>
      </c>
      <c r="J348" s="2" t="s">
        <v>142</v>
      </c>
      <c r="K348" s="2">
        <v>1</v>
      </c>
      <c r="L348" s="2">
        <v>15000</v>
      </c>
      <c r="M348" s="2">
        <v>20</v>
      </c>
      <c r="N348" s="2">
        <v>12000</v>
      </c>
      <c r="O348" s="2">
        <v>3990.4</v>
      </c>
      <c r="P348" s="2" t="s">
        <v>37</v>
      </c>
      <c r="Q348" s="2" t="s">
        <v>82</v>
      </c>
    </row>
    <row r="349" spans="1:17" x14ac:dyDescent="0.35">
      <c r="A349" s="3" t="s">
        <v>764</v>
      </c>
      <c r="B349" s="3" t="s">
        <v>192</v>
      </c>
      <c r="C349" s="3" t="s">
        <v>40</v>
      </c>
      <c r="D349" s="3" t="s">
        <v>20</v>
      </c>
      <c r="E349" s="3" t="s">
        <v>385</v>
      </c>
      <c r="F349" s="3" t="s">
        <v>56</v>
      </c>
      <c r="G349" s="3" t="s">
        <v>66</v>
      </c>
      <c r="H349" s="3" t="s">
        <v>67</v>
      </c>
      <c r="I349" s="3" t="s">
        <v>35</v>
      </c>
      <c r="J349" s="3" t="s">
        <v>205</v>
      </c>
      <c r="K349" s="3">
        <v>7</v>
      </c>
      <c r="L349" s="3">
        <v>499</v>
      </c>
      <c r="M349" s="3">
        <v>20</v>
      </c>
      <c r="N349" s="3">
        <v>2794.4</v>
      </c>
      <c r="O349" s="3">
        <v>680.89</v>
      </c>
      <c r="P349" s="3" t="s">
        <v>37</v>
      </c>
      <c r="Q349" s="3" t="s">
        <v>82</v>
      </c>
    </row>
    <row r="350" spans="1:17" x14ac:dyDescent="0.35">
      <c r="A350" s="2" t="s">
        <v>765</v>
      </c>
      <c r="B350" s="2" t="s">
        <v>766</v>
      </c>
      <c r="C350" s="2" t="s">
        <v>161</v>
      </c>
      <c r="D350" s="2" t="s">
        <v>20</v>
      </c>
      <c r="E350" s="2" t="s">
        <v>201</v>
      </c>
      <c r="F350" s="2" t="s">
        <v>22</v>
      </c>
      <c r="G350" s="2" t="s">
        <v>66</v>
      </c>
      <c r="H350" s="2" t="s">
        <v>98</v>
      </c>
      <c r="I350" s="2" t="s">
        <v>42</v>
      </c>
      <c r="J350" s="2" t="s">
        <v>43</v>
      </c>
      <c r="K350" s="2">
        <v>5</v>
      </c>
      <c r="L350" s="2">
        <v>220</v>
      </c>
      <c r="M350" s="2">
        <v>15</v>
      </c>
      <c r="N350" s="2">
        <v>935</v>
      </c>
      <c r="O350" s="2">
        <v>277.97000000000003</v>
      </c>
      <c r="P350" s="2" t="s">
        <v>37</v>
      </c>
      <c r="Q350" s="2" t="s">
        <v>82</v>
      </c>
    </row>
    <row r="351" spans="1:17" x14ac:dyDescent="0.35">
      <c r="A351" s="3" t="s">
        <v>767</v>
      </c>
      <c r="B351" s="3" t="s">
        <v>768</v>
      </c>
      <c r="C351" s="3" t="s">
        <v>134</v>
      </c>
      <c r="D351" s="3" t="s">
        <v>20</v>
      </c>
      <c r="E351" s="3" t="s">
        <v>165</v>
      </c>
      <c r="F351" s="3" t="s">
        <v>22</v>
      </c>
      <c r="G351" s="3" t="s">
        <v>48</v>
      </c>
      <c r="H351" s="3" t="s">
        <v>49</v>
      </c>
      <c r="I351" s="3" t="s">
        <v>80</v>
      </c>
      <c r="J351" s="3" t="s">
        <v>119</v>
      </c>
      <c r="K351" s="3">
        <v>4</v>
      </c>
      <c r="L351" s="3">
        <v>800</v>
      </c>
      <c r="M351" s="3">
        <v>5</v>
      </c>
      <c r="N351" s="3">
        <v>3040</v>
      </c>
      <c r="O351" s="3">
        <v>755.52</v>
      </c>
      <c r="P351" s="3" t="s">
        <v>37</v>
      </c>
      <c r="Q351" s="3" t="s">
        <v>82</v>
      </c>
    </row>
    <row r="352" spans="1:17" x14ac:dyDescent="0.35">
      <c r="A352" s="2" t="s">
        <v>769</v>
      </c>
      <c r="B352" s="2" t="s">
        <v>770</v>
      </c>
      <c r="C352" s="2" t="s">
        <v>19</v>
      </c>
      <c r="D352" s="2" t="s">
        <v>20</v>
      </c>
      <c r="E352" s="2" t="s">
        <v>168</v>
      </c>
      <c r="F352" s="2" t="s">
        <v>22</v>
      </c>
      <c r="G352" s="2" t="s">
        <v>66</v>
      </c>
      <c r="H352" s="2" t="s">
        <v>98</v>
      </c>
      <c r="I352" s="2" t="s">
        <v>50</v>
      </c>
      <c r="J352" s="2" t="s">
        <v>198</v>
      </c>
      <c r="K352" s="2">
        <v>9</v>
      </c>
      <c r="L352" s="2">
        <v>2500</v>
      </c>
      <c r="M352" s="2">
        <v>15</v>
      </c>
      <c r="N352" s="2">
        <v>19125</v>
      </c>
      <c r="O352" s="2">
        <v>4539.47</v>
      </c>
      <c r="P352" s="2" t="s">
        <v>37</v>
      </c>
      <c r="Q352" s="2" t="s">
        <v>82</v>
      </c>
    </row>
    <row r="353" spans="1:17" x14ac:dyDescent="0.35">
      <c r="A353" s="3" t="s">
        <v>771</v>
      </c>
      <c r="B353" s="3" t="s">
        <v>255</v>
      </c>
      <c r="C353" s="3" t="s">
        <v>256</v>
      </c>
      <c r="D353" s="3" t="s">
        <v>20</v>
      </c>
      <c r="E353" s="3" t="s">
        <v>408</v>
      </c>
      <c r="F353" s="3" t="s">
        <v>33</v>
      </c>
      <c r="G353" s="3" t="s">
        <v>48</v>
      </c>
      <c r="H353" s="3" t="s">
        <v>109</v>
      </c>
      <c r="I353" s="3" t="s">
        <v>50</v>
      </c>
      <c r="J353" s="3" t="s">
        <v>142</v>
      </c>
      <c r="K353" s="3">
        <v>2</v>
      </c>
      <c r="L353" s="3">
        <v>15000</v>
      </c>
      <c r="M353" s="3">
        <v>0</v>
      </c>
      <c r="N353" s="3">
        <v>30000</v>
      </c>
      <c r="O353" s="3">
        <v>5485.05</v>
      </c>
      <c r="P353" s="3" t="s">
        <v>27</v>
      </c>
      <c r="Q353" s="3" t="s">
        <v>28</v>
      </c>
    </row>
    <row r="354" spans="1:17" x14ac:dyDescent="0.35">
      <c r="A354" s="2" t="s">
        <v>772</v>
      </c>
      <c r="B354" s="2" t="s">
        <v>136</v>
      </c>
      <c r="C354" s="2" t="s">
        <v>78</v>
      </c>
      <c r="D354" s="2" t="s">
        <v>20</v>
      </c>
      <c r="E354" s="2" t="s">
        <v>32</v>
      </c>
      <c r="F354" s="2" t="s">
        <v>56</v>
      </c>
      <c r="G354" s="2" t="s">
        <v>66</v>
      </c>
      <c r="H354" s="2" t="s">
        <v>98</v>
      </c>
      <c r="I354" s="2" t="s">
        <v>25</v>
      </c>
      <c r="J354" s="2" t="s">
        <v>26</v>
      </c>
      <c r="K354" s="2">
        <v>1</v>
      </c>
      <c r="L354" s="2">
        <v>5500</v>
      </c>
      <c r="M354" s="2">
        <v>10</v>
      </c>
      <c r="N354" s="2">
        <v>4950</v>
      </c>
      <c r="O354" s="2">
        <v>668.65</v>
      </c>
      <c r="P354" s="2" t="s">
        <v>27</v>
      </c>
      <c r="Q354" s="2" t="s">
        <v>28</v>
      </c>
    </row>
    <row r="355" spans="1:17" x14ac:dyDescent="0.35">
      <c r="A355" s="3" t="s">
        <v>773</v>
      </c>
      <c r="B355" s="3" t="s">
        <v>667</v>
      </c>
      <c r="C355" s="3" t="s">
        <v>46</v>
      </c>
      <c r="D355" s="3" t="s">
        <v>20</v>
      </c>
      <c r="E355" s="3" t="s">
        <v>137</v>
      </c>
      <c r="F355" s="3" t="s">
        <v>22</v>
      </c>
      <c r="G355" s="3" t="s">
        <v>66</v>
      </c>
      <c r="H355" s="3" t="s">
        <v>86</v>
      </c>
      <c r="I355" s="3" t="s">
        <v>35</v>
      </c>
      <c r="J355" s="3" t="s">
        <v>36</v>
      </c>
      <c r="K355" s="3">
        <v>5</v>
      </c>
      <c r="L355" s="3">
        <v>1999</v>
      </c>
      <c r="M355" s="3">
        <v>0</v>
      </c>
      <c r="N355" s="3">
        <v>9995</v>
      </c>
      <c r="O355" s="3">
        <v>3299.86</v>
      </c>
      <c r="P355" s="3" t="s">
        <v>37</v>
      </c>
      <c r="Q355" s="3" t="s">
        <v>82</v>
      </c>
    </row>
    <row r="356" spans="1:17" x14ac:dyDescent="0.35">
      <c r="A356" s="2" t="s">
        <v>774</v>
      </c>
      <c r="B356" s="2" t="s">
        <v>557</v>
      </c>
      <c r="C356" s="2" t="s">
        <v>31</v>
      </c>
      <c r="D356" s="2" t="s">
        <v>20</v>
      </c>
      <c r="E356" s="2" t="s">
        <v>662</v>
      </c>
      <c r="F356" s="2" t="s">
        <v>22</v>
      </c>
      <c r="G356" s="2" t="s">
        <v>23</v>
      </c>
      <c r="H356" s="2" t="s">
        <v>24</v>
      </c>
      <c r="I356" s="2" t="s">
        <v>25</v>
      </c>
      <c r="J356" s="2" t="s">
        <v>26</v>
      </c>
      <c r="K356" s="2">
        <v>10</v>
      </c>
      <c r="L356" s="2">
        <v>5500</v>
      </c>
      <c r="M356" s="2">
        <v>15</v>
      </c>
      <c r="N356" s="2">
        <v>46750</v>
      </c>
      <c r="O356" s="2">
        <v>14216.47</v>
      </c>
      <c r="P356" s="2" t="s">
        <v>37</v>
      </c>
      <c r="Q356" s="2" t="s">
        <v>28</v>
      </c>
    </row>
    <row r="357" spans="1:17" x14ac:dyDescent="0.35">
      <c r="A357" s="3" t="s">
        <v>775</v>
      </c>
      <c r="B357" s="3" t="s">
        <v>387</v>
      </c>
      <c r="C357" s="3" t="s">
        <v>161</v>
      </c>
      <c r="D357" s="3" t="s">
        <v>20</v>
      </c>
      <c r="E357" s="3" t="s">
        <v>278</v>
      </c>
      <c r="F357" s="3" t="s">
        <v>56</v>
      </c>
      <c r="G357" s="3" t="s">
        <v>66</v>
      </c>
      <c r="H357" s="3" t="s">
        <v>67</v>
      </c>
      <c r="I357" s="3" t="s">
        <v>25</v>
      </c>
      <c r="J357" s="3" t="s">
        <v>237</v>
      </c>
      <c r="K357" s="3">
        <v>3</v>
      </c>
      <c r="L357" s="3">
        <v>22000</v>
      </c>
      <c r="M357" s="3">
        <v>0</v>
      </c>
      <c r="N357" s="3">
        <v>66000</v>
      </c>
      <c r="O357" s="3">
        <v>8611.92</v>
      </c>
      <c r="P357" s="3" t="s">
        <v>27</v>
      </c>
      <c r="Q357" s="3" t="s">
        <v>28</v>
      </c>
    </row>
    <row r="358" spans="1:17" x14ac:dyDescent="0.35">
      <c r="A358" s="2" t="s">
        <v>776</v>
      </c>
      <c r="B358" s="2" t="s">
        <v>777</v>
      </c>
      <c r="C358" s="2" t="s">
        <v>19</v>
      </c>
      <c r="D358" s="2" t="s">
        <v>20</v>
      </c>
      <c r="E358" s="2" t="s">
        <v>214</v>
      </c>
      <c r="F358" s="2" t="s">
        <v>33</v>
      </c>
      <c r="G358" s="2" t="s">
        <v>48</v>
      </c>
      <c r="H358" s="2" t="s">
        <v>57</v>
      </c>
      <c r="I358" s="2" t="s">
        <v>35</v>
      </c>
      <c r="J358" s="2" t="s">
        <v>36</v>
      </c>
      <c r="K358" s="2">
        <v>5</v>
      </c>
      <c r="L358" s="2">
        <v>1999</v>
      </c>
      <c r="M358" s="2">
        <v>0</v>
      </c>
      <c r="N358" s="2">
        <v>9995</v>
      </c>
      <c r="O358" s="2">
        <v>1691.67</v>
      </c>
      <c r="P358" s="2" t="s">
        <v>27</v>
      </c>
      <c r="Q358" s="2" t="s">
        <v>82</v>
      </c>
    </row>
    <row r="359" spans="1:17" x14ac:dyDescent="0.35">
      <c r="A359" s="3" t="s">
        <v>778</v>
      </c>
      <c r="B359" s="3" t="s">
        <v>779</v>
      </c>
      <c r="C359" s="3" t="s">
        <v>19</v>
      </c>
      <c r="D359" s="3" t="s">
        <v>20</v>
      </c>
      <c r="E359" s="3" t="s">
        <v>79</v>
      </c>
      <c r="F359" s="3" t="s">
        <v>22</v>
      </c>
      <c r="G359" s="3" t="s">
        <v>23</v>
      </c>
      <c r="H359" s="3" t="s">
        <v>194</v>
      </c>
      <c r="I359" s="3" t="s">
        <v>42</v>
      </c>
      <c r="J359" s="3" t="s">
        <v>184</v>
      </c>
      <c r="K359" s="3">
        <v>9</v>
      </c>
      <c r="L359" s="3">
        <v>120</v>
      </c>
      <c r="M359" s="3">
        <v>10</v>
      </c>
      <c r="N359" s="3">
        <v>972</v>
      </c>
      <c r="O359" s="3">
        <v>96.89</v>
      </c>
      <c r="P359" s="3" t="s">
        <v>37</v>
      </c>
      <c r="Q359" s="3" t="s">
        <v>82</v>
      </c>
    </row>
    <row r="360" spans="1:17" x14ac:dyDescent="0.35">
      <c r="A360" s="2" t="s">
        <v>780</v>
      </c>
      <c r="B360" s="2" t="s">
        <v>654</v>
      </c>
      <c r="C360" s="2" t="s">
        <v>54</v>
      </c>
      <c r="D360" s="2" t="s">
        <v>20</v>
      </c>
      <c r="E360" s="2" t="s">
        <v>376</v>
      </c>
      <c r="F360" s="2" t="s">
        <v>22</v>
      </c>
      <c r="G360" s="2" t="s">
        <v>23</v>
      </c>
      <c r="H360" s="2" t="s">
        <v>34</v>
      </c>
      <c r="I360" s="2" t="s">
        <v>42</v>
      </c>
      <c r="J360" s="2" t="s">
        <v>184</v>
      </c>
      <c r="K360" s="2">
        <v>9</v>
      </c>
      <c r="L360" s="2">
        <v>120</v>
      </c>
      <c r="M360" s="2">
        <v>15</v>
      </c>
      <c r="N360" s="2">
        <v>918</v>
      </c>
      <c r="O360" s="2">
        <v>96.23</v>
      </c>
      <c r="P360" s="2" t="s">
        <v>27</v>
      </c>
      <c r="Q360" s="2" t="s">
        <v>28</v>
      </c>
    </row>
    <row r="361" spans="1:17" x14ac:dyDescent="0.35">
      <c r="A361" s="3" t="s">
        <v>781</v>
      </c>
      <c r="B361" s="3" t="s">
        <v>30</v>
      </c>
      <c r="C361" s="3" t="s">
        <v>31</v>
      </c>
      <c r="D361" s="3" t="s">
        <v>20</v>
      </c>
      <c r="E361" s="3" t="s">
        <v>145</v>
      </c>
      <c r="F361" s="3" t="s">
        <v>33</v>
      </c>
      <c r="G361" s="3" t="s">
        <v>48</v>
      </c>
      <c r="H361" s="3" t="s">
        <v>57</v>
      </c>
      <c r="I361" s="3" t="s">
        <v>80</v>
      </c>
      <c r="J361" s="3" t="s">
        <v>81</v>
      </c>
      <c r="K361" s="3">
        <v>8</v>
      </c>
      <c r="L361" s="3">
        <v>950</v>
      </c>
      <c r="M361" s="3">
        <v>20</v>
      </c>
      <c r="N361" s="3">
        <v>6080</v>
      </c>
      <c r="O361" s="3">
        <v>1838.57</v>
      </c>
      <c r="P361" s="3" t="s">
        <v>27</v>
      </c>
      <c r="Q361" s="3" t="s">
        <v>28</v>
      </c>
    </row>
    <row r="362" spans="1:17" x14ac:dyDescent="0.35">
      <c r="A362" s="2" t="s">
        <v>782</v>
      </c>
      <c r="B362" s="2" t="s">
        <v>103</v>
      </c>
      <c r="C362" s="2" t="s">
        <v>78</v>
      </c>
      <c r="D362" s="2" t="s">
        <v>20</v>
      </c>
      <c r="E362" s="2" t="s">
        <v>438</v>
      </c>
      <c r="F362" s="2" t="s">
        <v>33</v>
      </c>
      <c r="G362" s="2" t="s">
        <v>66</v>
      </c>
      <c r="H362" s="2" t="s">
        <v>67</v>
      </c>
      <c r="I362" s="2" t="s">
        <v>50</v>
      </c>
      <c r="J362" s="2" t="s">
        <v>198</v>
      </c>
      <c r="K362" s="2">
        <v>7</v>
      </c>
      <c r="L362" s="2">
        <v>2500</v>
      </c>
      <c r="M362" s="2">
        <v>0</v>
      </c>
      <c r="N362" s="2">
        <v>17500</v>
      </c>
      <c r="O362" s="2">
        <v>3223.26</v>
      </c>
      <c r="P362" s="2" t="s">
        <v>37</v>
      </c>
      <c r="Q362" s="2" t="s">
        <v>28</v>
      </c>
    </row>
    <row r="363" spans="1:17" x14ac:dyDescent="0.35">
      <c r="A363" s="3" t="s">
        <v>783</v>
      </c>
      <c r="B363" s="3" t="s">
        <v>784</v>
      </c>
      <c r="C363" s="3" t="s">
        <v>129</v>
      </c>
      <c r="D363" s="3" t="s">
        <v>20</v>
      </c>
      <c r="E363" s="3" t="s">
        <v>101</v>
      </c>
      <c r="F363" s="3" t="s">
        <v>33</v>
      </c>
      <c r="G363" s="3" t="s">
        <v>48</v>
      </c>
      <c r="H363" s="3" t="s">
        <v>109</v>
      </c>
      <c r="I363" s="3" t="s">
        <v>42</v>
      </c>
      <c r="J363" s="3" t="s">
        <v>187</v>
      </c>
      <c r="K363" s="3">
        <v>5</v>
      </c>
      <c r="L363" s="3">
        <v>350</v>
      </c>
      <c r="M363" s="3">
        <v>5</v>
      </c>
      <c r="N363" s="3">
        <v>1662.5</v>
      </c>
      <c r="O363" s="3">
        <v>276.77999999999997</v>
      </c>
      <c r="P363" s="3" t="s">
        <v>27</v>
      </c>
      <c r="Q363" s="3" t="s">
        <v>28</v>
      </c>
    </row>
    <row r="364" spans="1:17" x14ac:dyDescent="0.35">
      <c r="A364" s="2" t="s">
        <v>785</v>
      </c>
      <c r="B364" s="2" t="s">
        <v>786</v>
      </c>
      <c r="C364" s="2" t="s">
        <v>19</v>
      </c>
      <c r="D364" s="2" t="s">
        <v>20</v>
      </c>
      <c r="E364" s="2" t="s">
        <v>210</v>
      </c>
      <c r="F364" s="2" t="s">
        <v>22</v>
      </c>
      <c r="G364" s="2" t="s">
        <v>23</v>
      </c>
      <c r="H364" s="2" t="s">
        <v>24</v>
      </c>
      <c r="I364" s="2" t="s">
        <v>35</v>
      </c>
      <c r="J364" s="2" t="s">
        <v>126</v>
      </c>
      <c r="K364" s="2">
        <v>7</v>
      </c>
      <c r="L364" s="2">
        <v>1299</v>
      </c>
      <c r="M364" s="2">
        <v>0</v>
      </c>
      <c r="N364" s="2">
        <v>9093</v>
      </c>
      <c r="O364" s="2">
        <v>1232.1600000000001</v>
      </c>
      <c r="P364" s="2" t="s">
        <v>37</v>
      </c>
      <c r="Q364" s="2" t="s">
        <v>28</v>
      </c>
    </row>
    <row r="365" spans="1:17" x14ac:dyDescent="0.35">
      <c r="A365" s="3" t="s">
        <v>787</v>
      </c>
      <c r="B365" s="3" t="s">
        <v>788</v>
      </c>
      <c r="C365" s="3" t="s">
        <v>54</v>
      </c>
      <c r="D365" s="3" t="s">
        <v>20</v>
      </c>
      <c r="E365" s="3" t="s">
        <v>210</v>
      </c>
      <c r="F365" s="3" t="s">
        <v>22</v>
      </c>
      <c r="G365" s="3" t="s">
        <v>66</v>
      </c>
      <c r="H365" s="3" t="s">
        <v>114</v>
      </c>
      <c r="I365" s="3" t="s">
        <v>42</v>
      </c>
      <c r="J365" s="3" t="s">
        <v>43</v>
      </c>
      <c r="K365" s="3">
        <v>1</v>
      </c>
      <c r="L365" s="3">
        <v>220</v>
      </c>
      <c r="M365" s="3">
        <v>0</v>
      </c>
      <c r="N365" s="3">
        <v>220</v>
      </c>
      <c r="O365" s="3">
        <v>21.95</v>
      </c>
      <c r="P365" s="3" t="s">
        <v>37</v>
      </c>
      <c r="Q365" s="3" t="s">
        <v>28</v>
      </c>
    </row>
    <row r="366" spans="1:17" x14ac:dyDescent="0.35">
      <c r="A366" s="2" t="s">
        <v>789</v>
      </c>
      <c r="B366" s="2" t="s">
        <v>343</v>
      </c>
      <c r="C366" s="2" t="s">
        <v>256</v>
      </c>
      <c r="D366" s="2" t="s">
        <v>20</v>
      </c>
      <c r="E366" s="2" t="s">
        <v>141</v>
      </c>
      <c r="F366" s="2" t="s">
        <v>22</v>
      </c>
      <c r="G366" s="2" t="s">
        <v>66</v>
      </c>
      <c r="H366" s="2" t="s">
        <v>98</v>
      </c>
      <c r="I366" s="2" t="s">
        <v>42</v>
      </c>
      <c r="J366" s="2" t="s">
        <v>68</v>
      </c>
      <c r="K366" s="2">
        <v>8</v>
      </c>
      <c r="L366" s="2">
        <v>150</v>
      </c>
      <c r="M366" s="2">
        <v>15</v>
      </c>
      <c r="N366" s="2">
        <v>1020</v>
      </c>
      <c r="O366" s="2">
        <v>200.86</v>
      </c>
      <c r="P366" s="2" t="s">
        <v>37</v>
      </c>
      <c r="Q366" s="2" t="s">
        <v>28</v>
      </c>
    </row>
    <row r="367" spans="1:17" x14ac:dyDescent="0.35">
      <c r="A367" s="3" t="s">
        <v>790</v>
      </c>
      <c r="B367" s="3" t="s">
        <v>262</v>
      </c>
      <c r="C367" s="3" t="s">
        <v>19</v>
      </c>
      <c r="D367" s="3" t="s">
        <v>20</v>
      </c>
      <c r="E367" s="3" t="s">
        <v>354</v>
      </c>
      <c r="F367" s="3" t="s">
        <v>22</v>
      </c>
      <c r="G367" s="3" t="s">
        <v>23</v>
      </c>
      <c r="H367" s="3" t="s">
        <v>24</v>
      </c>
      <c r="I367" s="3" t="s">
        <v>50</v>
      </c>
      <c r="J367" s="3" t="s">
        <v>198</v>
      </c>
      <c r="K367" s="3">
        <v>9</v>
      </c>
      <c r="L367" s="3">
        <v>2500</v>
      </c>
      <c r="M367" s="3">
        <v>0</v>
      </c>
      <c r="N367" s="3">
        <v>22500</v>
      </c>
      <c r="O367" s="3">
        <v>3560.76</v>
      </c>
      <c r="P367" s="3" t="s">
        <v>37</v>
      </c>
      <c r="Q367" s="3" t="s">
        <v>28</v>
      </c>
    </row>
    <row r="368" spans="1:17" x14ac:dyDescent="0.35">
      <c r="A368" s="2" t="s">
        <v>791</v>
      </c>
      <c r="B368" s="2" t="s">
        <v>673</v>
      </c>
      <c r="C368" s="2" t="s">
        <v>161</v>
      </c>
      <c r="D368" s="2" t="s">
        <v>20</v>
      </c>
      <c r="E368" s="2" t="s">
        <v>47</v>
      </c>
      <c r="F368" s="2" t="s">
        <v>22</v>
      </c>
      <c r="G368" s="2" t="s">
        <v>73</v>
      </c>
      <c r="H368" s="2" t="s">
        <v>211</v>
      </c>
      <c r="I368" s="2" t="s">
        <v>42</v>
      </c>
      <c r="J368" s="2" t="s">
        <v>187</v>
      </c>
      <c r="K368" s="2">
        <v>8</v>
      </c>
      <c r="L368" s="2">
        <v>350</v>
      </c>
      <c r="M368" s="2">
        <v>5</v>
      </c>
      <c r="N368" s="2">
        <v>2660</v>
      </c>
      <c r="O368" s="2">
        <v>595.94000000000005</v>
      </c>
      <c r="P368" s="2" t="s">
        <v>37</v>
      </c>
      <c r="Q368" s="2" t="s">
        <v>82</v>
      </c>
    </row>
    <row r="369" spans="1:17" x14ac:dyDescent="0.35">
      <c r="A369" s="3" t="s">
        <v>792</v>
      </c>
      <c r="B369" s="3" t="s">
        <v>793</v>
      </c>
      <c r="C369" s="3" t="s">
        <v>256</v>
      </c>
      <c r="D369" s="3" t="s">
        <v>20</v>
      </c>
      <c r="E369" s="3" t="s">
        <v>270</v>
      </c>
      <c r="F369" s="3" t="s">
        <v>22</v>
      </c>
      <c r="G369" s="3" t="s">
        <v>66</v>
      </c>
      <c r="H369" s="3" t="s">
        <v>98</v>
      </c>
      <c r="I369" s="3" t="s">
        <v>25</v>
      </c>
      <c r="J369" s="3" t="s">
        <v>257</v>
      </c>
      <c r="K369" s="3">
        <v>9</v>
      </c>
      <c r="L369" s="3">
        <v>8500</v>
      </c>
      <c r="M369" s="3">
        <v>20</v>
      </c>
      <c r="N369" s="3">
        <v>61200</v>
      </c>
      <c r="O369" s="3">
        <v>7232.06</v>
      </c>
      <c r="P369" s="3" t="s">
        <v>27</v>
      </c>
      <c r="Q369" s="3" t="s">
        <v>28</v>
      </c>
    </row>
    <row r="370" spans="1:17" x14ac:dyDescent="0.35">
      <c r="A370" s="2" t="s">
        <v>794</v>
      </c>
      <c r="B370" s="2" t="s">
        <v>709</v>
      </c>
      <c r="C370" s="2" t="s">
        <v>71</v>
      </c>
      <c r="D370" s="2" t="s">
        <v>20</v>
      </c>
      <c r="E370" s="2" t="s">
        <v>560</v>
      </c>
      <c r="F370" s="2" t="s">
        <v>33</v>
      </c>
      <c r="G370" s="2" t="s">
        <v>23</v>
      </c>
      <c r="H370" s="2" t="s">
        <v>194</v>
      </c>
      <c r="I370" s="2" t="s">
        <v>35</v>
      </c>
      <c r="J370" s="2" t="s">
        <v>138</v>
      </c>
      <c r="K370" s="2">
        <v>4</v>
      </c>
      <c r="L370" s="2">
        <v>799</v>
      </c>
      <c r="M370" s="2">
        <v>15</v>
      </c>
      <c r="N370" s="2">
        <v>2716.6</v>
      </c>
      <c r="O370" s="2">
        <v>881.59</v>
      </c>
      <c r="P370" s="2" t="s">
        <v>27</v>
      </c>
      <c r="Q370" s="2" t="s">
        <v>28</v>
      </c>
    </row>
    <row r="371" spans="1:17" x14ac:dyDescent="0.35">
      <c r="A371" s="3" t="s">
        <v>795</v>
      </c>
      <c r="B371" s="3" t="s">
        <v>442</v>
      </c>
      <c r="C371" s="3" t="s">
        <v>78</v>
      </c>
      <c r="D371" s="3" t="s">
        <v>20</v>
      </c>
      <c r="E371" s="3" t="s">
        <v>108</v>
      </c>
      <c r="F371" s="3" t="s">
        <v>22</v>
      </c>
      <c r="G371" s="3" t="s">
        <v>48</v>
      </c>
      <c r="H371" s="3" t="s">
        <v>57</v>
      </c>
      <c r="I371" s="3" t="s">
        <v>50</v>
      </c>
      <c r="J371" s="3" t="s">
        <v>75</v>
      </c>
      <c r="K371" s="3">
        <v>10</v>
      </c>
      <c r="L371" s="3">
        <v>45000</v>
      </c>
      <c r="M371" s="3">
        <v>0</v>
      </c>
      <c r="N371" s="3">
        <v>450000</v>
      </c>
      <c r="O371" s="3">
        <v>139443.60999999999</v>
      </c>
      <c r="P371" s="3" t="s">
        <v>37</v>
      </c>
      <c r="Q371" s="3" t="s">
        <v>28</v>
      </c>
    </row>
    <row r="372" spans="1:17" x14ac:dyDescent="0.35">
      <c r="A372" s="2" t="s">
        <v>796</v>
      </c>
      <c r="B372" s="2" t="s">
        <v>797</v>
      </c>
      <c r="C372" s="2" t="s">
        <v>46</v>
      </c>
      <c r="D372" s="2" t="s">
        <v>20</v>
      </c>
      <c r="E372" s="2" t="s">
        <v>503</v>
      </c>
      <c r="F372" s="2" t="s">
        <v>22</v>
      </c>
      <c r="G372" s="2" t="s">
        <v>23</v>
      </c>
      <c r="H372" s="2" t="s">
        <v>194</v>
      </c>
      <c r="I372" s="2" t="s">
        <v>50</v>
      </c>
      <c r="J372" s="2" t="s">
        <v>75</v>
      </c>
      <c r="K372" s="2">
        <v>10</v>
      </c>
      <c r="L372" s="2">
        <v>45000</v>
      </c>
      <c r="M372" s="2">
        <v>15</v>
      </c>
      <c r="N372" s="2">
        <v>382500</v>
      </c>
      <c r="O372" s="2">
        <v>128870.28</v>
      </c>
      <c r="P372" s="2" t="s">
        <v>27</v>
      </c>
      <c r="Q372" s="2" t="s">
        <v>28</v>
      </c>
    </row>
    <row r="373" spans="1:17" x14ac:dyDescent="0.35">
      <c r="A373" s="3" t="s">
        <v>798</v>
      </c>
      <c r="B373" s="3" t="s">
        <v>799</v>
      </c>
      <c r="C373" s="3" t="s">
        <v>19</v>
      </c>
      <c r="D373" s="3" t="s">
        <v>20</v>
      </c>
      <c r="E373" s="3" t="s">
        <v>247</v>
      </c>
      <c r="F373" s="3" t="s">
        <v>22</v>
      </c>
      <c r="G373" s="3" t="s">
        <v>48</v>
      </c>
      <c r="H373" s="3" t="s">
        <v>169</v>
      </c>
      <c r="I373" s="3" t="s">
        <v>35</v>
      </c>
      <c r="J373" s="3" t="s">
        <v>138</v>
      </c>
      <c r="K373" s="3">
        <v>8</v>
      </c>
      <c r="L373" s="3">
        <v>799</v>
      </c>
      <c r="M373" s="3">
        <v>15</v>
      </c>
      <c r="N373" s="3">
        <v>5433.2</v>
      </c>
      <c r="O373" s="3">
        <v>916.33</v>
      </c>
      <c r="P373" s="3" t="s">
        <v>37</v>
      </c>
      <c r="Q373" s="3" t="s">
        <v>28</v>
      </c>
    </row>
    <row r="374" spans="1:17" x14ac:dyDescent="0.35">
      <c r="A374" s="2" t="s">
        <v>800</v>
      </c>
      <c r="B374" s="2" t="s">
        <v>654</v>
      </c>
      <c r="C374" s="2" t="s">
        <v>54</v>
      </c>
      <c r="D374" s="2" t="s">
        <v>20</v>
      </c>
      <c r="E374" s="2" t="s">
        <v>97</v>
      </c>
      <c r="F374" s="2" t="s">
        <v>56</v>
      </c>
      <c r="G374" s="2" t="s">
        <v>48</v>
      </c>
      <c r="H374" s="2" t="s">
        <v>49</v>
      </c>
      <c r="I374" s="2" t="s">
        <v>42</v>
      </c>
      <c r="J374" s="2" t="s">
        <v>149</v>
      </c>
      <c r="K374" s="2">
        <v>1</v>
      </c>
      <c r="L374" s="2">
        <v>180</v>
      </c>
      <c r="M374" s="2">
        <v>10</v>
      </c>
      <c r="N374" s="2">
        <v>162</v>
      </c>
      <c r="O374" s="2">
        <v>23.73</v>
      </c>
      <c r="P374" s="2" t="s">
        <v>37</v>
      </c>
      <c r="Q374" s="2" t="s">
        <v>28</v>
      </c>
    </row>
    <row r="375" spans="1:17" x14ac:dyDescent="0.35">
      <c r="A375" s="3" t="s">
        <v>801</v>
      </c>
      <c r="B375" s="3" t="s">
        <v>345</v>
      </c>
      <c r="C375" s="3" t="s">
        <v>129</v>
      </c>
      <c r="D375" s="3" t="s">
        <v>20</v>
      </c>
      <c r="E375" s="3" t="s">
        <v>385</v>
      </c>
      <c r="F375" s="3" t="s">
        <v>22</v>
      </c>
      <c r="G375" s="3" t="s">
        <v>48</v>
      </c>
      <c r="H375" s="3" t="s">
        <v>109</v>
      </c>
      <c r="I375" s="3" t="s">
        <v>42</v>
      </c>
      <c r="J375" s="3" t="s">
        <v>68</v>
      </c>
      <c r="K375" s="3">
        <v>6</v>
      </c>
      <c r="L375" s="3">
        <v>150</v>
      </c>
      <c r="M375" s="3">
        <v>10</v>
      </c>
      <c r="N375" s="3">
        <v>810</v>
      </c>
      <c r="O375" s="3">
        <v>171.3</v>
      </c>
      <c r="P375" s="3" t="s">
        <v>27</v>
      </c>
      <c r="Q375" s="3" t="s">
        <v>28</v>
      </c>
    </row>
    <row r="376" spans="1:17" x14ac:dyDescent="0.35">
      <c r="A376" s="2" t="s">
        <v>802</v>
      </c>
      <c r="B376" s="2" t="s">
        <v>413</v>
      </c>
      <c r="C376" s="2" t="s">
        <v>256</v>
      </c>
      <c r="D376" s="2" t="s">
        <v>20</v>
      </c>
      <c r="E376" s="2" t="s">
        <v>247</v>
      </c>
      <c r="F376" s="2" t="s">
        <v>22</v>
      </c>
      <c r="G376" s="2" t="s">
        <v>48</v>
      </c>
      <c r="H376" s="2" t="s">
        <v>57</v>
      </c>
      <c r="I376" s="2" t="s">
        <v>80</v>
      </c>
      <c r="J376" s="2" t="s">
        <v>119</v>
      </c>
      <c r="K376" s="2">
        <v>5</v>
      </c>
      <c r="L376" s="2">
        <v>800</v>
      </c>
      <c r="M376" s="2">
        <v>0</v>
      </c>
      <c r="N376" s="2">
        <v>4000</v>
      </c>
      <c r="O376" s="2">
        <v>1105.6199999999999</v>
      </c>
      <c r="P376" s="2" t="s">
        <v>27</v>
      </c>
      <c r="Q376" s="2" t="s">
        <v>28</v>
      </c>
    </row>
    <row r="377" spans="1:17" x14ac:dyDescent="0.35">
      <c r="A377" s="3" t="s">
        <v>803</v>
      </c>
      <c r="B377" s="3" t="s">
        <v>634</v>
      </c>
      <c r="C377" s="3" t="s">
        <v>161</v>
      </c>
      <c r="D377" s="3" t="s">
        <v>20</v>
      </c>
      <c r="E377" s="3" t="s">
        <v>79</v>
      </c>
      <c r="F377" s="3" t="s">
        <v>56</v>
      </c>
      <c r="G377" s="3" t="s">
        <v>66</v>
      </c>
      <c r="H377" s="3" t="s">
        <v>114</v>
      </c>
      <c r="I377" s="3" t="s">
        <v>80</v>
      </c>
      <c r="J377" s="3" t="s">
        <v>240</v>
      </c>
      <c r="K377" s="3">
        <v>9</v>
      </c>
      <c r="L377" s="3">
        <v>600</v>
      </c>
      <c r="M377" s="3">
        <v>20</v>
      </c>
      <c r="N377" s="3">
        <v>4320</v>
      </c>
      <c r="O377" s="3">
        <v>896.26</v>
      </c>
      <c r="P377" s="3" t="s">
        <v>37</v>
      </c>
      <c r="Q377" s="3" t="s">
        <v>82</v>
      </c>
    </row>
    <row r="378" spans="1:17" x14ac:dyDescent="0.35">
      <c r="A378" s="2" t="s">
        <v>804</v>
      </c>
      <c r="B378" s="2" t="s">
        <v>505</v>
      </c>
      <c r="C378" s="2" t="s">
        <v>71</v>
      </c>
      <c r="D378" s="2" t="s">
        <v>20</v>
      </c>
      <c r="E378" s="2" t="s">
        <v>113</v>
      </c>
      <c r="F378" s="2" t="s">
        <v>22</v>
      </c>
      <c r="G378" s="2" t="s">
        <v>48</v>
      </c>
      <c r="H378" s="2" t="s">
        <v>57</v>
      </c>
      <c r="I378" s="2" t="s">
        <v>42</v>
      </c>
      <c r="J378" s="2" t="s">
        <v>184</v>
      </c>
      <c r="K378" s="2">
        <v>9</v>
      </c>
      <c r="L378" s="2">
        <v>120</v>
      </c>
      <c r="M378" s="2">
        <v>0</v>
      </c>
      <c r="N378" s="2">
        <v>1080</v>
      </c>
      <c r="O378" s="2">
        <v>202.1</v>
      </c>
      <c r="P378" s="2" t="s">
        <v>27</v>
      </c>
      <c r="Q378" s="2" t="s">
        <v>28</v>
      </c>
    </row>
    <row r="379" spans="1:17" x14ac:dyDescent="0.35">
      <c r="A379" s="3" t="s">
        <v>805</v>
      </c>
      <c r="B379" s="3" t="s">
        <v>799</v>
      </c>
      <c r="C379" s="3" t="s">
        <v>19</v>
      </c>
      <c r="D379" s="3" t="s">
        <v>20</v>
      </c>
      <c r="E379" s="3" t="s">
        <v>181</v>
      </c>
      <c r="F379" s="3" t="s">
        <v>22</v>
      </c>
      <c r="G379" s="3" t="s">
        <v>66</v>
      </c>
      <c r="H379" s="3" t="s">
        <v>67</v>
      </c>
      <c r="I379" s="3" t="s">
        <v>42</v>
      </c>
      <c r="J379" s="3" t="s">
        <v>149</v>
      </c>
      <c r="K379" s="3">
        <v>3</v>
      </c>
      <c r="L379" s="3">
        <v>180</v>
      </c>
      <c r="M379" s="3">
        <v>20</v>
      </c>
      <c r="N379" s="3">
        <v>432</v>
      </c>
      <c r="O379" s="3">
        <v>145.22</v>
      </c>
      <c r="P379" s="3" t="s">
        <v>27</v>
      </c>
      <c r="Q379" s="3" t="s">
        <v>28</v>
      </c>
    </row>
    <row r="380" spans="1:17" x14ac:dyDescent="0.35">
      <c r="A380" s="2" t="s">
        <v>806</v>
      </c>
      <c r="B380" s="2" t="s">
        <v>53</v>
      </c>
      <c r="C380" s="2" t="s">
        <v>54</v>
      </c>
      <c r="D380" s="2" t="s">
        <v>20</v>
      </c>
      <c r="E380" s="2" t="s">
        <v>482</v>
      </c>
      <c r="F380" s="2" t="s">
        <v>22</v>
      </c>
      <c r="G380" s="2" t="s">
        <v>48</v>
      </c>
      <c r="H380" s="2" t="s">
        <v>169</v>
      </c>
      <c r="I380" s="2" t="s">
        <v>35</v>
      </c>
      <c r="J380" s="2" t="s">
        <v>172</v>
      </c>
      <c r="K380" s="2">
        <v>4</v>
      </c>
      <c r="L380" s="2">
        <v>2499</v>
      </c>
      <c r="M380" s="2">
        <v>0</v>
      </c>
      <c r="N380" s="2">
        <v>9996</v>
      </c>
      <c r="O380" s="2">
        <v>1513.16</v>
      </c>
      <c r="P380" s="2" t="s">
        <v>27</v>
      </c>
      <c r="Q380" s="2" t="s">
        <v>28</v>
      </c>
    </row>
    <row r="381" spans="1:17" x14ac:dyDescent="0.35">
      <c r="A381" s="3" t="s">
        <v>807</v>
      </c>
      <c r="B381" s="3" t="s">
        <v>808</v>
      </c>
      <c r="C381" s="3" t="s">
        <v>40</v>
      </c>
      <c r="D381" s="3" t="s">
        <v>20</v>
      </c>
      <c r="E381" s="3" t="s">
        <v>438</v>
      </c>
      <c r="F381" s="3" t="s">
        <v>22</v>
      </c>
      <c r="G381" s="3" t="s">
        <v>48</v>
      </c>
      <c r="H381" s="3" t="s">
        <v>109</v>
      </c>
      <c r="I381" s="3" t="s">
        <v>42</v>
      </c>
      <c r="J381" s="3" t="s">
        <v>68</v>
      </c>
      <c r="K381" s="3">
        <v>1</v>
      </c>
      <c r="L381" s="3">
        <v>150</v>
      </c>
      <c r="M381" s="3">
        <v>0</v>
      </c>
      <c r="N381" s="3">
        <v>150</v>
      </c>
      <c r="O381" s="3">
        <v>51.71</v>
      </c>
      <c r="P381" s="3" t="s">
        <v>27</v>
      </c>
      <c r="Q381" s="3" t="s">
        <v>28</v>
      </c>
    </row>
    <row r="382" spans="1:17" x14ac:dyDescent="0.35">
      <c r="A382" s="2" t="s">
        <v>809</v>
      </c>
      <c r="B382" s="2" t="s">
        <v>45</v>
      </c>
      <c r="C382" s="2" t="s">
        <v>46</v>
      </c>
      <c r="D382" s="2" t="s">
        <v>20</v>
      </c>
      <c r="E382" s="2" t="s">
        <v>503</v>
      </c>
      <c r="F382" s="2" t="s">
        <v>22</v>
      </c>
      <c r="G382" s="2" t="s">
        <v>48</v>
      </c>
      <c r="H382" s="2" t="s">
        <v>49</v>
      </c>
      <c r="I382" s="2" t="s">
        <v>80</v>
      </c>
      <c r="J382" s="2" t="s">
        <v>81</v>
      </c>
      <c r="K382" s="2">
        <v>10</v>
      </c>
      <c r="L382" s="2">
        <v>950</v>
      </c>
      <c r="M382" s="2">
        <v>5</v>
      </c>
      <c r="N382" s="2">
        <v>9025</v>
      </c>
      <c r="O382" s="2">
        <v>1639.83</v>
      </c>
      <c r="P382" s="2" t="s">
        <v>37</v>
      </c>
      <c r="Q382" s="2" t="s">
        <v>82</v>
      </c>
    </row>
    <row r="383" spans="1:17" x14ac:dyDescent="0.35">
      <c r="A383" s="3" t="s">
        <v>810</v>
      </c>
      <c r="B383" s="3" t="s">
        <v>449</v>
      </c>
      <c r="C383" s="3" t="s">
        <v>40</v>
      </c>
      <c r="D383" s="3" t="s">
        <v>20</v>
      </c>
      <c r="E383" s="3" t="s">
        <v>385</v>
      </c>
      <c r="F383" s="3" t="s">
        <v>56</v>
      </c>
      <c r="G383" s="3" t="s">
        <v>23</v>
      </c>
      <c r="H383" s="3" t="s">
        <v>194</v>
      </c>
      <c r="I383" s="3" t="s">
        <v>42</v>
      </c>
      <c r="J383" s="3" t="s">
        <v>149</v>
      </c>
      <c r="K383" s="3">
        <v>9</v>
      </c>
      <c r="L383" s="3">
        <v>180</v>
      </c>
      <c r="M383" s="3">
        <v>15</v>
      </c>
      <c r="N383" s="3">
        <v>1377</v>
      </c>
      <c r="O383" s="3">
        <v>241.36</v>
      </c>
      <c r="P383" s="3" t="s">
        <v>37</v>
      </c>
      <c r="Q383" s="3" t="s">
        <v>28</v>
      </c>
    </row>
    <row r="384" spans="1:17" x14ac:dyDescent="0.35">
      <c r="A384" s="2" t="s">
        <v>811</v>
      </c>
      <c r="B384" s="2" t="s">
        <v>812</v>
      </c>
      <c r="C384" s="2" t="s">
        <v>54</v>
      </c>
      <c r="D384" s="2" t="s">
        <v>20</v>
      </c>
      <c r="E384" s="2" t="s">
        <v>443</v>
      </c>
      <c r="F384" s="2" t="s">
        <v>33</v>
      </c>
      <c r="G384" s="2" t="s">
        <v>66</v>
      </c>
      <c r="H384" s="2" t="s">
        <v>86</v>
      </c>
      <c r="I384" s="2" t="s">
        <v>35</v>
      </c>
      <c r="J384" s="2" t="s">
        <v>126</v>
      </c>
      <c r="K384" s="2">
        <v>2</v>
      </c>
      <c r="L384" s="2">
        <v>1299</v>
      </c>
      <c r="M384" s="2">
        <v>20</v>
      </c>
      <c r="N384" s="2">
        <v>2078.4</v>
      </c>
      <c r="O384" s="2">
        <v>527.37</v>
      </c>
      <c r="P384" s="2" t="s">
        <v>27</v>
      </c>
      <c r="Q384" s="2" t="s">
        <v>28</v>
      </c>
    </row>
    <row r="385" spans="1:17" x14ac:dyDescent="0.35">
      <c r="A385" s="3" t="s">
        <v>813</v>
      </c>
      <c r="B385" s="3" t="s">
        <v>814</v>
      </c>
      <c r="C385" s="3" t="s">
        <v>71</v>
      </c>
      <c r="D385" s="3" t="s">
        <v>20</v>
      </c>
      <c r="E385" s="3" t="s">
        <v>443</v>
      </c>
      <c r="F385" s="3" t="s">
        <v>22</v>
      </c>
      <c r="G385" s="3" t="s">
        <v>23</v>
      </c>
      <c r="H385" s="3" t="s">
        <v>34</v>
      </c>
      <c r="I385" s="3" t="s">
        <v>42</v>
      </c>
      <c r="J385" s="3" t="s">
        <v>43</v>
      </c>
      <c r="K385" s="3">
        <v>2</v>
      </c>
      <c r="L385" s="3">
        <v>220</v>
      </c>
      <c r="M385" s="3">
        <v>15</v>
      </c>
      <c r="N385" s="3">
        <v>374</v>
      </c>
      <c r="O385" s="3">
        <v>98.1</v>
      </c>
      <c r="P385" s="3" t="s">
        <v>27</v>
      </c>
      <c r="Q385" s="3" t="s">
        <v>28</v>
      </c>
    </row>
    <row r="386" spans="1:17" x14ac:dyDescent="0.35">
      <c r="A386" s="2" t="s">
        <v>815</v>
      </c>
      <c r="B386" s="2" t="s">
        <v>496</v>
      </c>
      <c r="C386" s="2" t="s">
        <v>161</v>
      </c>
      <c r="D386" s="2" t="s">
        <v>20</v>
      </c>
      <c r="E386" s="2" t="s">
        <v>520</v>
      </c>
      <c r="F386" s="2" t="s">
        <v>22</v>
      </c>
      <c r="G386" s="2" t="s">
        <v>73</v>
      </c>
      <c r="H386" s="2" t="s">
        <v>93</v>
      </c>
      <c r="I386" s="2" t="s">
        <v>35</v>
      </c>
      <c r="J386" s="2" t="s">
        <v>205</v>
      </c>
      <c r="K386" s="2">
        <v>3</v>
      </c>
      <c r="L386" s="2">
        <v>499</v>
      </c>
      <c r="M386" s="2">
        <v>20</v>
      </c>
      <c r="N386" s="2">
        <v>1197.5999999999999</v>
      </c>
      <c r="O386" s="2">
        <v>287.33999999999997</v>
      </c>
      <c r="P386" s="2" t="s">
        <v>27</v>
      </c>
      <c r="Q386" s="2" t="s">
        <v>28</v>
      </c>
    </row>
    <row r="387" spans="1:17" x14ac:dyDescent="0.35">
      <c r="A387" s="3" t="s">
        <v>816</v>
      </c>
      <c r="B387" s="3" t="s">
        <v>817</v>
      </c>
      <c r="C387" s="3" t="s">
        <v>19</v>
      </c>
      <c r="D387" s="3" t="s">
        <v>20</v>
      </c>
      <c r="E387" s="3" t="s">
        <v>337</v>
      </c>
      <c r="F387" s="3" t="s">
        <v>33</v>
      </c>
      <c r="G387" s="3" t="s">
        <v>48</v>
      </c>
      <c r="H387" s="3" t="s">
        <v>57</v>
      </c>
      <c r="I387" s="3" t="s">
        <v>80</v>
      </c>
      <c r="J387" s="3" t="s">
        <v>110</v>
      </c>
      <c r="K387" s="3">
        <v>10</v>
      </c>
      <c r="L387" s="3">
        <v>1200</v>
      </c>
      <c r="M387" s="3">
        <v>20</v>
      </c>
      <c r="N387" s="3">
        <v>9600</v>
      </c>
      <c r="O387" s="3">
        <v>2420.7199999999998</v>
      </c>
      <c r="P387" s="3" t="s">
        <v>37</v>
      </c>
      <c r="Q387" s="3" t="s">
        <v>28</v>
      </c>
    </row>
    <row r="388" spans="1:17" x14ac:dyDescent="0.35">
      <c r="A388" s="2" t="s">
        <v>818</v>
      </c>
      <c r="B388" s="2" t="s">
        <v>77</v>
      </c>
      <c r="C388" s="2" t="s">
        <v>78</v>
      </c>
      <c r="D388" s="2" t="s">
        <v>20</v>
      </c>
      <c r="E388" s="2" t="s">
        <v>298</v>
      </c>
      <c r="F388" s="2" t="s">
        <v>22</v>
      </c>
      <c r="G388" s="2" t="s">
        <v>73</v>
      </c>
      <c r="H388" s="2" t="s">
        <v>211</v>
      </c>
      <c r="I388" s="2" t="s">
        <v>35</v>
      </c>
      <c r="J388" s="2" t="s">
        <v>126</v>
      </c>
      <c r="K388" s="2">
        <v>7</v>
      </c>
      <c r="L388" s="2">
        <v>1299</v>
      </c>
      <c r="M388" s="2">
        <v>20</v>
      </c>
      <c r="N388" s="2">
        <v>7274.4</v>
      </c>
      <c r="O388" s="2">
        <v>862.25</v>
      </c>
      <c r="P388" s="2" t="s">
        <v>27</v>
      </c>
      <c r="Q388" s="2" t="s">
        <v>28</v>
      </c>
    </row>
    <row r="389" spans="1:17" x14ac:dyDescent="0.35">
      <c r="A389" s="3" t="s">
        <v>819</v>
      </c>
      <c r="B389" s="3" t="s">
        <v>745</v>
      </c>
      <c r="C389" s="3" t="s">
        <v>46</v>
      </c>
      <c r="D389" s="3" t="s">
        <v>20</v>
      </c>
      <c r="E389" s="3" t="s">
        <v>550</v>
      </c>
      <c r="F389" s="3" t="s">
        <v>33</v>
      </c>
      <c r="G389" s="3" t="s">
        <v>66</v>
      </c>
      <c r="H389" s="3" t="s">
        <v>98</v>
      </c>
      <c r="I389" s="3" t="s">
        <v>42</v>
      </c>
      <c r="J389" s="3" t="s">
        <v>184</v>
      </c>
      <c r="K389" s="3">
        <v>10</v>
      </c>
      <c r="L389" s="3">
        <v>120</v>
      </c>
      <c r="M389" s="3">
        <v>0</v>
      </c>
      <c r="N389" s="3">
        <v>1200</v>
      </c>
      <c r="O389" s="3">
        <v>170.46</v>
      </c>
      <c r="P389" s="3" t="s">
        <v>27</v>
      </c>
      <c r="Q389" s="3" t="s">
        <v>28</v>
      </c>
    </row>
    <row r="390" spans="1:17" x14ac:dyDescent="0.35">
      <c r="A390" s="2" t="s">
        <v>820</v>
      </c>
      <c r="B390" s="2" t="s">
        <v>716</v>
      </c>
      <c r="C390" s="2" t="s">
        <v>31</v>
      </c>
      <c r="D390" s="2" t="s">
        <v>20</v>
      </c>
      <c r="E390" s="2" t="s">
        <v>92</v>
      </c>
      <c r="F390" s="2" t="s">
        <v>22</v>
      </c>
      <c r="G390" s="2" t="s">
        <v>73</v>
      </c>
      <c r="H390" s="2" t="s">
        <v>105</v>
      </c>
      <c r="I390" s="2" t="s">
        <v>80</v>
      </c>
      <c r="J390" s="2" t="s">
        <v>89</v>
      </c>
      <c r="K390" s="2">
        <v>3</v>
      </c>
      <c r="L390" s="2">
        <v>1500</v>
      </c>
      <c r="M390" s="2">
        <v>15</v>
      </c>
      <c r="N390" s="2">
        <v>3825</v>
      </c>
      <c r="O390" s="2">
        <v>1237.1400000000001</v>
      </c>
      <c r="P390" s="2" t="s">
        <v>27</v>
      </c>
      <c r="Q390" s="2" t="s">
        <v>28</v>
      </c>
    </row>
    <row r="391" spans="1:17" x14ac:dyDescent="0.35">
      <c r="A391" s="3" t="s">
        <v>821</v>
      </c>
      <c r="B391" s="3" t="s">
        <v>822</v>
      </c>
      <c r="C391" s="3" t="s">
        <v>19</v>
      </c>
      <c r="D391" s="3" t="s">
        <v>20</v>
      </c>
      <c r="E391" s="3" t="s">
        <v>234</v>
      </c>
      <c r="F391" s="3" t="s">
        <v>22</v>
      </c>
      <c r="G391" s="3" t="s">
        <v>23</v>
      </c>
      <c r="H391" s="3" t="s">
        <v>131</v>
      </c>
      <c r="I391" s="3" t="s">
        <v>35</v>
      </c>
      <c r="J391" s="3" t="s">
        <v>36</v>
      </c>
      <c r="K391" s="3">
        <v>9</v>
      </c>
      <c r="L391" s="3">
        <v>1999</v>
      </c>
      <c r="M391" s="3">
        <v>0</v>
      </c>
      <c r="N391" s="3">
        <v>17991</v>
      </c>
      <c r="O391" s="3">
        <v>5796.37</v>
      </c>
      <c r="P391" s="3" t="s">
        <v>37</v>
      </c>
      <c r="Q391" s="3" t="s">
        <v>28</v>
      </c>
    </row>
    <row r="392" spans="1:17" x14ac:dyDescent="0.35">
      <c r="A392" s="2" t="s">
        <v>823</v>
      </c>
      <c r="B392" s="2" t="s">
        <v>203</v>
      </c>
      <c r="C392" s="2" t="s">
        <v>19</v>
      </c>
      <c r="D392" s="2" t="s">
        <v>20</v>
      </c>
      <c r="E392" s="2" t="s">
        <v>405</v>
      </c>
      <c r="F392" s="2" t="s">
        <v>56</v>
      </c>
      <c r="G392" s="2" t="s">
        <v>23</v>
      </c>
      <c r="H392" s="2" t="s">
        <v>131</v>
      </c>
      <c r="I392" s="2" t="s">
        <v>35</v>
      </c>
      <c r="J392" s="2" t="s">
        <v>172</v>
      </c>
      <c r="K392" s="2">
        <v>7</v>
      </c>
      <c r="L392" s="2">
        <v>2499</v>
      </c>
      <c r="M392" s="2">
        <v>10</v>
      </c>
      <c r="N392" s="2">
        <v>15743.7</v>
      </c>
      <c r="O392" s="2">
        <v>3763.42</v>
      </c>
      <c r="P392" s="2" t="s">
        <v>27</v>
      </c>
      <c r="Q392" s="2" t="s">
        <v>28</v>
      </c>
    </row>
    <row r="393" spans="1:17" x14ac:dyDescent="0.35">
      <c r="A393" s="3" t="s">
        <v>824</v>
      </c>
      <c r="B393" s="3" t="s">
        <v>725</v>
      </c>
      <c r="C393" s="3" t="s">
        <v>256</v>
      </c>
      <c r="D393" s="3" t="s">
        <v>20</v>
      </c>
      <c r="E393" s="3" t="s">
        <v>438</v>
      </c>
      <c r="F393" s="3" t="s">
        <v>22</v>
      </c>
      <c r="G393" s="3" t="s">
        <v>66</v>
      </c>
      <c r="H393" s="3" t="s">
        <v>114</v>
      </c>
      <c r="I393" s="3" t="s">
        <v>25</v>
      </c>
      <c r="J393" s="3" t="s">
        <v>94</v>
      </c>
      <c r="K393" s="3">
        <v>9</v>
      </c>
      <c r="L393" s="3">
        <v>18000</v>
      </c>
      <c r="M393" s="3">
        <v>15</v>
      </c>
      <c r="N393" s="3">
        <v>137700</v>
      </c>
      <c r="O393" s="3">
        <v>20600.93</v>
      </c>
      <c r="P393" s="3" t="s">
        <v>27</v>
      </c>
      <c r="Q393" s="3" t="s">
        <v>28</v>
      </c>
    </row>
    <row r="394" spans="1:17" x14ac:dyDescent="0.35">
      <c r="A394" s="2" t="s">
        <v>825</v>
      </c>
      <c r="B394" s="2" t="s">
        <v>347</v>
      </c>
      <c r="C394" s="2" t="s">
        <v>117</v>
      </c>
      <c r="D394" s="2" t="s">
        <v>20</v>
      </c>
      <c r="E394" s="2" t="s">
        <v>178</v>
      </c>
      <c r="F394" s="2" t="s">
        <v>56</v>
      </c>
      <c r="G394" s="2" t="s">
        <v>23</v>
      </c>
      <c r="H394" s="2" t="s">
        <v>131</v>
      </c>
      <c r="I394" s="2" t="s">
        <v>35</v>
      </c>
      <c r="J394" s="2" t="s">
        <v>138</v>
      </c>
      <c r="K394" s="2">
        <v>7</v>
      </c>
      <c r="L394" s="2">
        <v>799</v>
      </c>
      <c r="M394" s="2">
        <v>10</v>
      </c>
      <c r="N394" s="2">
        <v>5033.7</v>
      </c>
      <c r="O394" s="2">
        <v>547.54999999999995</v>
      </c>
      <c r="P394" s="2" t="s">
        <v>37</v>
      </c>
      <c r="Q394" s="2" t="s">
        <v>28</v>
      </c>
    </row>
    <row r="395" spans="1:17" x14ac:dyDescent="0.35">
      <c r="A395" s="3" t="s">
        <v>826</v>
      </c>
      <c r="B395" s="3" t="s">
        <v>457</v>
      </c>
      <c r="C395" s="3" t="s">
        <v>71</v>
      </c>
      <c r="D395" s="3" t="s">
        <v>20</v>
      </c>
      <c r="E395" s="3" t="s">
        <v>204</v>
      </c>
      <c r="F395" s="3" t="s">
        <v>56</v>
      </c>
      <c r="G395" s="3" t="s">
        <v>48</v>
      </c>
      <c r="H395" s="3" t="s">
        <v>49</v>
      </c>
      <c r="I395" s="3" t="s">
        <v>42</v>
      </c>
      <c r="J395" s="3" t="s">
        <v>149</v>
      </c>
      <c r="K395" s="3">
        <v>7</v>
      </c>
      <c r="L395" s="3">
        <v>180</v>
      </c>
      <c r="M395" s="3">
        <v>20</v>
      </c>
      <c r="N395" s="3">
        <v>1008</v>
      </c>
      <c r="O395" s="3">
        <v>293.95999999999998</v>
      </c>
      <c r="P395" s="3" t="s">
        <v>27</v>
      </c>
      <c r="Q395" s="3" t="s">
        <v>28</v>
      </c>
    </row>
    <row r="396" spans="1:17" x14ac:dyDescent="0.35">
      <c r="A396" s="2" t="s">
        <v>827</v>
      </c>
      <c r="B396" s="2" t="s">
        <v>799</v>
      </c>
      <c r="C396" s="2" t="s">
        <v>19</v>
      </c>
      <c r="D396" s="2" t="s">
        <v>20</v>
      </c>
      <c r="E396" s="2" t="s">
        <v>175</v>
      </c>
      <c r="F396" s="2" t="s">
        <v>22</v>
      </c>
      <c r="G396" s="2" t="s">
        <v>48</v>
      </c>
      <c r="H396" s="2" t="s">
        <v>49</v>
      </c>
      <c r="I396" s="2" t="s">
        <v>80</v>
      </c>
      <c r="J396" s="2" t="s">
        <v>240</v>
      </c>
      <c r="K396" s="2">
        <v>7</v>
      </c>
      <c r="L396" s="2">
        <v>600</v>
      </c>
      <c r="M396" s="2">
        <v>5</v>
      </c>
      <c r="N396" s="2">
        <v>3990</v>
      </c>
      <c r="O396" s="2">
        <v>1240.29</v>
      </c>
      <c r="P396" s="2" t="s">
        <v>27</v>
      </c>
      <c r="Q396" s="2" t="s">
        <v>28</v>
      </c>
    </row>
    <row r="397" spans="1:17" x14ac:dyDescent="0.35">
      <c r="A397" s="3" t="s">
        <v>828</v>
      </c>
      <c r="B397" s="3" t="s">
        <v>583</v>
      </c>
      <c r="C397" s="3" t="s">
        <v>31</v>
      </c>
      <c r="D397" s="3" t="s">
        <v>20</v>
      </c>
      <c r="E397" s="3" t="s">
        <v>558</v>
      </c>
      <c r="F397" s="3" t="s">
        <v>33</v>
      </c>
      <c r="G397" s="3" t="s">
        <v>66</v>
      </c>
      <c r="H397" s="3" t="s">
        <v>114</v>
      </c>
      <c r="I397" s="3" t="s">
        <v>35</v>
      </c>
      <c r="J397" s="3" t="s">
        <v>36</v>
      </c>
      <c r="K397" s="3">
        <v>7</v>
      </c>
      <c r="L397" s="3">
        <v>1999</v>
      </c>
      <c r="M397" s="3">
        <v>10</v>
      </c>
      <c r="N397" s="3">
        <v>12593.7</v>
      </c>
      <c r="O397" s="3">
        <v>3730.64</v>
      </c>
      <c r="P397" s="3" t="s">
        <v>27</v>
      </c>
      <c r="Q397" s="3" t="s">
        <v>82</v>
      </c>
    </row>
    <row r="398" spans="1:17" x14ac:dyDescent="0.35">
      <c r="A398" s="2" t="s">
        <v>829</v>
      </c>
      <c r="B398" s="2" t="s">
        <v>631</v>
      </c>
      <c r="C398" s="2" t="s">
        <v>134</v>
      </c>
      <c r="D398" s="2" t="s">
        <v>20</v>
      </c>
      <c r="E398" s="2" t="s">
        <v>393</v>
      </c>
      <c r="F398" s="2" t="s">
        <v>56</v>
      </c>
      <c r="G398" s="2" t="s">
        <v>23</v>
      </c>
      <c r="H398" s="2" t="s">
        <v>24</v>
      </c>
      <c r="I398" s="2" t="s">
        <v>35</v>
      </c>
      <c r="J398" s="2" t="s">
        <v>172</v>
      </c>
      <c r="K398" s="2">
        <v>10</v>
      </c>
      <c r="L398" s="2">
        <v>2499</v>
      </c>
      <c r="M398" s="2">
        <v>15</v>
      </c>
      <c r="N398" s="2">
        <v>21241.5</v>
      </c>
      <c r="O398" s="2">
        <v>2204.8200000000002</v>
      </c>
      <c r="P398" s="2" t="s">
        <v>27</v>
      </c>
      <c r="Q398" s="2" t="s">
        <v>28</v>
      </c>
    </row>
    <row r="399" spans="1:17" x14ac:dyDescent="0.35">
      <c r="A399" s="3" t="s">
        <v>830</v>
      </c>
      <c r="B399" s="3" t="s">
        <v>522</v>
      </c>
      <c r="C399" s="3" t="s">
        <v>161</v>
      </c>
      <c r="D399" s="3" t="s">
        <v>20</v>
      </c>
      <c r="E399" s="3" t="s">
        <v>562</v>
      </c>
      <c r="F399" s="3" t="s">
        <v>56</v>
      </c>
      <c r="G399" s="3" t="s">
        <v>73</v>
      </c>
      <c r="H399" s="3" t="s">
        <v>211</v>
      </c>
      <c r="I399" s="3" t="s">
        <v>80</v>
      </c>
      <c r="J399" s="3" t="s">
        <v>81</v>
      </c>
      <c r="K399" s="3">
        <v>5</v>
      </c>
      <c r="L399" s="3">
        <v>950</v>
      </c>
      <c r="M399" s="3">
        <v>20</v>
      </c>
      <c r="N399" s="3">
        <v>3800</v>
      </c>
      <c r="O399" s="3">
        <v>362.96</v>
      </c>
      <c r="P399" s="3" t="s">
        <v>37</v>
      </c>
      <c r="Q399" s="3" t="s">
        <v>28</v>
      </c>
    </row>
    <row r="400" spans="1:17" x14ac:dyDescent="0.35">
      <c r="A400" s="2" t="s">
        <v>831</v>
      </c>
      <c r="B400" s="2" t="s">
        <v>583</v>
      </c>
      <c r="C400" s="2" t="s">
        <v>31</v>
      </c>
      <c r="D400" s="2" t="s">
        <v>20</v>
      </c>
      <c r="E400" s="2" t="s">
        <v>65</v>
      </c>
      <c r="F400" s="2" t="s">
        <v>22</v>
      </c>
      <c r="G400" s="2" t="s">
        <v>48</v>
      </c>
      <c r="H400" s="2" t="s">
        <v>57</v>
      </c>
      <c r="I400" s="2" t="s">
        <v>50</v>
      </c>
      <c r="J400" s="2" t="s">
        <v>142</v>
      </c>
      <c r="K400" s="2">
        <v>9</v>
      </c>
      <c r="L400" s="2">
        <v>15000</v>
      </c>
      <c r="M400" s="2">
        <v>20</v>
      </c>
      <c r="N400" s="2">
        <v>108000</v>
      </c>
      <c r="O400" s="2">
        <v>29006.79</v>
      </c>
      <c r="P400" s="2" t="s">
        <v>27</v>
      </c>
      <c r="Q400" s="2" t="s">
        <v>28</v>
      </c>
    </row>
    <row r="401" spans="1:17" x14ac:dyDescent="0.35">
      <c r="A401" s="3" t="s">
        <v>832</v>
      </c>
      <c r="B401" s="3" t="s">
        <v>833</v>
      </c>
      <c r="C401" s="3" t="s">
        <v>46</v>
      </c>
      <c r="D401" s="3" t="s">
        <v>20</v>
      </c>
      <c r="E401" s="3" t="s">
        <v>562</v>
      </c>
      <c r="F401" s="3" t="s">
        <v>22</v>
      </c>
      <c r="G401" s="3" t="s">
        <v>23</v>
      </c>
      <c r="H401" s="3" t="s">
        <v>34</v>
      </c>
      <c r="I401" s="3" t="s">
        <v>50</v>
      </c>
      <c r="J401" s="3" t="s">
        <v>198</v>
      </c>
      <c r="K401" s="3">
        <v>7</v>
      </c>
      <c r="L401" s="3">
        <v>2500</v>
      </c>
      <c r="M401" s="3">
        <v>10</v>
      </c>
      <c r="N401" s="3">
        <v>15750</v>
      </c>
      <c r="O401" s="3">
        <v>4107.74</v>
      </c>
      <c r="P401" s="3" t="s">
        <v>27</v>
      </c>
      <c r="Q401" s="3" t="s">
        <v>28</v>
      </c>
    </row>
    <row r="402" spans="1:17" x14ac:dyDescent="0.35">
      <c r="A402" s="2" t="s">
        <v>834</v>
      </c>
      <c r="B402" s="2" t="s">
        <v>714</v>
      </c>
      <c r="C402" s="2" t="s">
        <v>134</v>
      </c>
      <c r="D402" s="2" t="s">
        <v>20</v>
      </c>
      <c r="E402" s="2" t="s">
        <v>253</v>
      </c>
      <c r="F402" s="2" t="s">
        <v>22</v>
      </c>
      <c r="G402" s="2" t="s">
        <v>23</v>
      </c>
      <c r="H402" s="2" t="s">
        <v>24</v>
      </c>
      <c r="I402" s="2" t="s">
        <v>80</v>
      </c>
      <c r="J402" s="2" t="s">
        <v>240</v>
      </c>
      <c r="K402" s="2">
        <v>9</v>
      </c>
      <c r="L402" s="2">
        <v>600</v>
      </c>
      <c r="M402" s="2">
        <v>20</v>
      </c>
      <c r="N402" s="2">
        <v>4320</v>
      </c>
      <c r="O402" s="2">
        <v>751.62</v>
      </c>
      <c r="P402" s="2" t="s">
        <v>27</v>
      </c>
      <c r="Q402" s="2" t="s">
        <v>28</v>
      </c>
    </row>
    <row r="403" spans="1:17" x14ac:dyDescent="0.35">
      <c r="A403" s="3" t="s">
        <v>835</v>
      </c>
      <c r="B403" s="3" t="s">
        <v>147</v>
      </c>
      <c r="C403" s="3" t="s">
        <v>129</v>
      </c>
      <c r="D403" s="3" t="s">
        <v>20</v>
      </c>
      <c r="E403" s="3" t="s">
        <v>226</v>
      </c>
      <c r="F403" s="3" t="s">
        <v>56</v>
      </c>
      <c r="G403" s="3" t="s">
        <v>73</v>
      </c>
      <c r="H403" s="3" t="s">
        <v>93</v>
      </c>
      <c r="I403" s="3" t="s">
        <v>25</v>
      </c>
      <c r="J403" s="3" t="s">
        <v>26</v>
      </c>
      <c r="K403" s="3">
        <v>7</v>
      </c>
      <c r="L403" s="3">
        <v>5500</v>
      </c>
      <c r="M403" s="3">
        <v>20</v>
      </c>
      <c r="N403" s="3">
        <v>30800</v>
      </c>
      <c r="O403" s="3">
        <v>3349.36</v>
      </c>
      <c r="P403" s="3" t="s">
        <v>37</v>
      </c>
      <c r="Q403" s="3" t="s">
        <v>28</v>
      </c>
    </row>
    <row r="404" spans="1:17" x14ac:dyDescent="0.35">
      <c r="A404" s="2" t="s">
        <v>836</v>
      </c>
      <c r="B404" s="2" t="s">
        <v>107</v>
      </c>
      <c r="C404" s="2" t="s">
        <v>40</v>
      </c>
      <c r="D404" s="2" t="s">
        <v>20</v>
      </c>
      <c r="E404" s="2" t="s">
        <v>72</v>
      </c>
      <c r="F404" s="2" t="s">
        <v>22</v>
      </c>
      <c r="G404" s="2" t="s">
        <v>48</v>
      </c>
      <c r="H404" s="2" t="s">
        <v>49</v>
      </c>
      <c r="I404" s="2" t="s">
        <v>42</v>
      </c>
      <c r="J404" s="2" t="s">
        <v>68</v>
      </c>
      <c r="K404" s="2">
        <v>10</v>
      </c>
      <c r="L404" s="2">
        <v>150</v>
      </c>
      <c r="M404" s="2">
        <v>15</v>
      </c>
      <c r="N404" s="2">
        <v>1275</v>
      </c>
      <c r="O404" s="2">
        <v>367.06</v>
      </c>
      <c r="P404" s="2" t="s">
        <v>37</v>
      </c>
      <c r="Q404" s="2" t="s">
        <v>82</v>
      </c>
    </row>
    <row r="405" spans="1:17" x14ac:dyDescent="0.35">
      <c r="A405" s="3" t="s">
        <v>837</v>
      </c>
      <c r="B405" s="3" t="s">
        <v>838</v>
      </c>
      <c r="C405" s="3" t="s">
        <v>54</v>
      </c>
      <c r="D405" s="3" t="s">
        <v>20</v>
      </c>
      <c r="E405" s="3" t="s">
        <v>130</v>
      </c>
      <c r="F405" s="3" t="s">
        <v>56</v>
      </c>
      <c r="G405" s="3" t="s">
        <v>23</v>
      </c>
      <c r="H405" s="3" t="s">
        <v>131</v>
      </c>
      <c r="I405" s="3" t="s">
        <v>50</v>
      </c>
      <c r="J405" s="3" t="s">
        <v>198</v>
      </c>
      <c r="K405" s="3">
        <v>2</v>
      </c>
      <c r="L405" s="3">
        <v>2500</v>
      </c>
      <c r="M405" s="3">
        <v>15</v>
      </c>
      <c r="N405" s="3">
        <v>4250</v>
      </c>
      <c r="O405" s="3">
        <v>1067.1300000000001</v>
      </c>
      <c r="P405" s="3" t="s">
        <v>27</v>
      </c>
      <c r="Q405" s="3" t="s">
        <v>82</v>
      </c>
    </row>
    <row r="406" spans="1:17" x14ac:dyDescent="0.35">
      <c r="A406" s="2" t="s">
        <v>839</v>
      </c>
      <c r="B406" s="2" t="s">
        <v>609</v>
      </c>
      <c r="C406" s="2" t="s">
        <v>40</v>
      </c>
      <c r="D406" s="2" t="s">
        <v>20</v>
      </c>
      <c r="E406" s="2" t="s">
        <v>310</v>
      </c>
      <c r="F406" s="2" t="s">
        <v>22</v>
      </c>
      <c r="G406" s="2" t="s">
        <v>23</v>
      </c>
      <c r="H406" s="2" t="s">
        <v>194</v>
      </c>
      <c r="I406" s="2" t="s">
        <v>35</v>
      </c>
      <c r="J406" s="2" t="s">
        <v>138</v>
      </c>
      <c r="K406" s="2">
        <v>2</v>
      </c>
      <c r="L406" s="2">
        <v>799</v>
      </c>
      <c r="M406" s="2">
        <v>15</v>
      </c>
      <c r="N406" s="2">
        <v>1358.3</v>
      </c>
      <c r="O406" s="2">
        <v>355.74</v>
      </c>
      <c r="P406" s="2" t="s">
        <v>27</v>
      </c>
      <c r="Q406" s="2" t="s">
        <v>28</v>
      </c>
    </row>
    <row r="407" spans="1:17" x14ac:dyDescent="0.35">
      <c r="A407" s="3" t="s">
        <v>840</v>
      </c>
      <c r="B407" s="3" t="s">
        <v>423</v>
      </c>
      <c r="C407" s="3" t="s">
        <v>54</v>
      </c>
      <c r="D407" s="3" t="s">
        <v>20</v>
      </c>
      <c r="E407" s="3" t="s">
        <v>113</v>
      </c>
      <c r="F407" s="3" t="s">
        <v>22</v>
      </c>
      <c r="G407" s="3" t="s">
        <v>48</v>
      </c>
      <c r="H407" s="3" t="s">
        <v>57</v>
      </c>
      <c r="I407" s="3" t="s">
        <v>80</v>
      </c>
      <c r="J407" s="3" t="s">
        <v>240</v>
      </c>
      <c r="K407" s="3">
        <v>3</v>
      </c>
      <c r="L407" s="3">
        <v>600</v>
      </c>
      <c r="M407" s="3">
        <v>5</v>
      </c>
      <c r="N407" s="3">
        <v>1710</v>
      </c>
      <c r="O407" s="3">
        <v>367.19</v>
      </c>
      <c r="P407" s="3" t="s">
        <v>27</v>
      </c>
      <c r="Q407" s="3" t="s">
        <v>82</v>
      </c>
    </row>
    <row r="408" spans="1:17" x14ac:dyDescent="0.35">
      <c r="A408" s="2" t="s">
        <v>841</v>
      </c>
      <c r="B408" s="2" t="s">
        <v>459</v>
      </c>
      <c r="C408" s="2" t="s">
        <v>129</v>
      </c>
      <c r="D408" s="2" t="s">
        <v>20</v>
      </c>
      <c r="E408" s="2" t="s">
        <v>325</v>
      </c>
      <c r="F408" s="2" t="s">
        <v>33</v>
      </c>
      <c r="G408" s="2" t="s">
        <v>66</v>
      </c>
      <c r="H408" s="2" t="s">
        <v>67</v>
      </c>
      <c r="I408" s="2" t="s">
        <v>35</v>
      </c>
      <c r="J408" s="2" t="s">
        <v>126</v>
      </c>
      <c r="K408" s="2">
        <v>10</v>
      </c>
      <c r="L408" s="2">
        <v>1299</v>
      </c>
      <c r="M408" s="2">
        <v>10</v>
      </c>
      <c r="N408" s="2">
        <v>11691</v>
      </c>
      <c r="O408" s="2">
        <v>1427.69</v>
      </c>
      <c r="P408" s="2" t="s">
        <v>27</v>
      </c>
      <c r="Q408" s="2" t="s">
        <v>82</v>
      </c>
    </row>
    <row r="409" spans="1:17" x14ac:dyDescent="0.35">
      <c r="A409" s="3" t="s">
        <v>842</v>
      </c>
      <c r="B409" s="3" t="s">
        <v>843</v>
      </c>
      <c r="C409" s="3" t="s">
        <v>71</v>
      </c>
      <c r="D409" s="3" t="s">
        <v>20</v>
      </c>
      <c r="E409" s="3" t="s">
        <v>560</v>
      </c>
      <c r="F409" s="3" t="s">
        <v>56</v>
      </c>
      <c r="G409" s="3" t="s">
        <v>73</v>
      </c>
      <c r="H409" s="3" t="s">
        <v>93</v>
      </c>
      <c r="I409" s="3" t="s">
        <v>80</v>
      </c>
      <c r="J409" s="3" t="s">
        <v>89</v>
      </c>
      <c r="K409" s="3">
        <v>8</v>
      </c>
      <c r="L409" s="3">
        <v>1500</v>
      </c>
      <c r="M409" s="3">
        <v>10</v>
      </c>
      <c r="N409" s="3">
        <v>10800</v>
      </c>
      <c r="O409" s="3">
        <v>2673.87</v>
      </c>
      <c r="P409" s="3" t="s">
        <v>37</v>
      </c>
      <c r="Q409" s="3" t="s">
        <v>82</v>
      </c>
    </row>
    <row r="410" spans="1:17" x14ac:dyDescent="0.35">
      <c r="A410" s="2" t="s">
        <v>844</v>
      </c>
      <c r="B410" s="2" t="s">
        <v>845</v>
      </c>
      <c r="C410" s="2" t="s">
        <v>117</v>
      </c>
      <c r="D410" s="2" t="s">
        <v>20</v>
      </c>
      <c r="E410" s="2" t="s">
        <v>65</v>
      </c>
      <c r="F410" s="2" t="s">
        <v>22</v>
      </c>
      <c r="G410" s="2" t="s">
        <v>48</v>
      </c>
      <c r="H410" s="2" t="s">
        <v>109</v>
      </c>
      <c r="I410" s="2" t="s">
        <v>35</v>
      </c>
      <c r="J410" s="2" t="s">
        <v>36</v>
      </c>
      <c r="K410" s="2">
        <v>3</v>
      </c>
      <c r="L410" s="2">
        <v>1999</v>
      </c>
      <c r="M410" s="2">
        <v>0</v>
      </c>
      <c r="N410" s="2">
        <v>5997</v>
      </c>
      <c r="O410" s="2">
        <v>1331.03</v>
      </c>
      <c r="P410" s="2" t="s">
        <v>37</v>
      </c>
      <c r="Q410" s="2" t="s">
        <v>28</v>
      </c>
    </row>
    <row r="411" spans="1:17" x14ac:dyDescent="0.35">
      <c r="A411" s="3" t="s">
        <v>846</v>
      </c>
      <c r="B411" s="3" t="s">
        <v>494</v>
      </c>
      <c r="C411" s="3" t="s">
        <v>256</v>
      </c>
      <c r="D411" s="3" t="s">
        <v>20</v>
      </c>
      <c r="E411" s="3" t="s">
        <v>482</v>
      </c>
      <c r="F411" s="3" t="s">
        <v>22</v>
      </c>
      <c r="G411" s="3" t="s">
        <v>73</v>
      </c>
      <c r="H411" s="3" t="s">
        <v>105</v>
      </c>
      <c r="I411" s="3" t="s">
        <v>42</v>
      </c>
      <c r="J411" s="3" t="s">
        <v>187</v>
      </c>
      <c r="K411" s="3">
        <v>9</v>
      </c>
      <c r="L411" s="3">
        <v>350</v>
      </c>
      <c r="M411" s="3">
        <v>15</v>
      </c>
      <c r="N411" s="3">
        <v>2677.5</v>
      </c>
      <c r="O411" s="3">
        <v>442.39</v>
      </c>
      <c r="P411" s="3" t="s">
        <v>27</v>
      </c>
      <c r="Q411" s="3" t="s">
        <v>28</v>
      </c>
    </row>
    <row r="412" spans="1:17" x14ac:dyDescent="0.35">
      <c r="A412" s="2" t="s">
        <v>847</v>
      </c>
      <c r="B412" s="2" t="s">
        <v>445</v>
      </c>
      <c r="C412" s="2" t="s">
        <v>134</v>
      </c>
      <c r="D412" s="2" t="s">
        <v>20</v>
      </c>
      <c r="E412" s="2" t="s">
        <v>499</v>
      </c>
      <c r="F412" s="2" t="s">
        <v>56</v>
      </c>
      <c r="G412" s="2" t="s">
        <v>23</v>
      </c>
      <c r="H412" s="2" t="s">
        <v>194</v>
      </c>
      <c r="I412" s="2" t="s">
        <v>25</v>
      </c>
      <c r="J412" s="2" t="s">
        <v>94</v>
      </c>
      <c r="K412" s="2">
        <v>5</v>
      </c>
      <c r="L412" s="2">
        <v>18000</v>
      </c>
      <c r="M412" s="2">
        <v>5</v>
      </c>
      <c r="N412" s="2">
        <v>85500</v>
      </c>
      <c r="O412" s="2">
        <v>19503.59</v>
      </c>
      <c r="P412" s="2" t="s">
        <v>37</v>
      </c>
      <c r="Q412" s="2" t="s">
        <v>28</v>
      </c>
    </row>
    <row r="413" spans="1:17" x14ac:dyDescent="0.35">
      <c r="A413" s="3" t="s">
        <v>848</v>
      </c>
      <c r="B413" s="3" t="s">
        <v>468</v>
      </c>
      <c r="C413" s="3" t="s">
        <v>46</v>
      </c>
      <c r="D413" s="3" t="s">
        <v>20</v>
      </c>
      <c r="E413" s="3" t="s">
        <v>560</v>
      </c>
      <c r="F413" s="3" t="s">
        <v>56</v>
      </c>
      <c r="G413" s="3" t="s">
        <v>66</v>
      </c>
      <c r="H413" s="3" t="s">
        <v>86</v>
      </c>
      <c r="I413" s="3" t="s">
        <v>42</v>
      </c>
      <c r="J413" s="3" t="s">
        <v>149</v>
      </c>
      <c r="K413" s="3">
        <v>7</v>
      </c>
      <c r="L413" s="3">
        <v>180</v>
      </c>
      <c r="M413" s="3">
        <v>10</v>
      </c>
      <c r="N413" s="3">
        <v>1134</v>
      </c>
      <c r="O413" s="3">
        <v>202.5</v>
      </c>
      <c r="P413" s="3" t="s">
        <v>37</v>
      </c>
      <c r="Q413" s="3" t="s">
        <v>28</v>
      </c>
    </row>
    <row r="414" spans="1:17" x14ac:dyDescent="0.35">
      <c r="A414" s="2" t="s">
        <v>849</v>
      </c>
      <c r="B414" s="2" t="s">
        <v>850</v>
      </c>
      <c r="C414" s="2" t="s">
        <v>54</v>
      </c>
      <c r="D414" s="2" t="s">
        <v>20</v>
      </c>
      <c r="E414" s="2" t="s">
        <v>214</v>
      </c>
      <c r="F414" s="2" t="s">
        <v>22</v>
      </c>
      <c r="G414" s="2" t="s">
        <v>66</v>
      </c>
      <c r="H414" s="2" t="s">
        <v>114</v>
      </c>
      <c r="I414" s="2" t="s">
        <v>25</v>
      </c>
      <c r="J414" s="2" t="s">
        <v>26</v>
      </c>
      <c r="K414" s="2">
        <v>9</v>
      </c>
      <c r="L414" s="2">
        <v>5500</v>
      </c>
      <c r="M414" s="2">
        <v>15</v>
      </c>
      <c r="N414" s="2">
        <v>42075</v>
      </c>
      <c r="O414" s="2">
        <v>13093.88</v>
      </c>
      <c r="P414" s="2" t="s">
        <v>27</v>
      </c>
      <c r="Q414" s="2" t="s">
        <v>28</v>
      </c>
    </row>
    <row r="415" spans="1:17" x14ac:dyDescent="0.35">
      <c r="A415" s="3" t="s">
        <v>851</v>
      </c>
      <c r="B415" s="3" t="s">
        <v>144</v>
      </c>
      <c r="C415" s="3" t="s">
        <v>40</v>
      </c>
      <c r="D415" s="3" t="s">
        <v>20</v>
      </c>
      <c r="E415" s="3" t="s">
        <v>260</v>
      </c>
      <c r="F415" s="3" t="s">
        <v>56</v>
      </c>
      <c r="G415" s="3" t="s">
        <v>23</v>
      </c>
      <c r="H415" s="3" t="s">
        <v>34</v>
      </c>
      <c r="I415" s="3" t="s">
        <v>42</v>
      </c>
      <c r="J415" s="3" t="s">
        <v>68</v>
      </c>
      <c r="K415" s="3">
        <v>3</v>
      </c>
      <c r="L415" s="3">
        <v>150</v>
      </c>
      <c r="M415" s="3">
        <v>20</v>
      </c>
      <c r="N415" s="3">
        <v>360</v>
      </c>
      <c r="O415" s="3">
        <v>80.7</v>
      </c>
      <c r="P415" s="3" t="s">
        <v>37</v>
      </c>
      <c r="Q415" s="3" t="s">
        <v>28</v>
      </c>
    </row>
    <row r="416" spans="1:17" x14ac:dyDescent="0.35">
      <c r="A416" s="2" t="s">
        <v>852</v>
      </c>
      <c r="B416" s="2" t="s">
        <v>853</v>
      </c>
      <c r="C416" s="2" t="s">
        <v>117</v>
      </c>
      <c r="D416" s="2" t="s">
        <v>20</v>
      </c>
      <c r="E416" s="2" t="s">
        <v>168</v>
      </c>
      <c r="F416" s="2" t="s">
        <v>56</v>
      </c>
      <c r="G416" s="2" t="s">
        <v>23</v>
      </c>
      <c r="H416" s="2" t="s">
        <v>131</v>
      </c>
      <c r="I416" s="2" t="s">
        <v>50</v>
      </c>
      <c r="J416" s="2" t="s">
        <v>75</v>
      </c>
      <c r="K416" s="2">
        <v>1</v>
      </c>
      <c r="L416" s="2">
        <v>45000</v>
      </c>
      <c r="M416" s="2">
        <v>5</v>
      </c>
      <c r="N416" s="2">
        <v>42750</v>
      </c>
      <c r="O416" s="2">
        <v>12813.5</v>
      </c>
      <c r="P416" s="2" t="s">
        <v>27</v>
      </c>
      <c r="Q416" s="2" t="s">
        <v>28</v>
      </c>
    </row>
    <row r="417" spans="1:17" x14ac:dyDescent="0.35">
      <c r="A417" s="3" t="s">
        <v>854</v>
      </c>
      <c r="B417" s="3" t="s">
        <v>855</v>
      </c>
      <c r="C417" s="3" t="s">
        <v>161</v>
      </c>
      <c r="D417" s="3" t="s">
        <v>20</v>
      </c>
      <c r="E417" s="3" t="s">
        <v>385</v>
      </c>
      <c r="F417" s="3" t="s">
        <v>22</v>
      </c>
      <c r="G417" s="3" t="s">
        <v>48</v>
      </c>
      <c r="H417" s="3" t="s">
        <v>49</v>
      </c>
      <c r="I417" s="3" t="s">
        <v>80</v>
      </c>
      <c r="J417" s="3" t="s">
        <v>81</v>
      </c>
      <c r="K417" s="3">
        <v>5</v>
      </c>
      <c r="L417" s="3">
        <v>950</v>
      </c>
      <c r="M417" s="3">
        <v>10</v>
      </c>
      <c r="N417" s="3">
        <v>4275</v>
      </c>
      <c r="O417" s="3">
        <v>364.89</v>
      </c>
      <c r="P417" s="3" t="s">
        <v>37</v>
      </c>
      <c r="Q417" s="3" t="s">
        <v>28</v>
      </c>
    </row>
    <row r="418" spans="1:17" x14ac:dyDescent="0.35">
      <c r="A418" s="2" t="s">
        <v>856</v>
      </c>
      <c r="B418" s="2" t="s">
        <v>857</v>
      </c>
      <c r="C418" s="2" t="s">
        <v>117</v>
      </c>
      <c r="D418" s="2" t="s">
        <v>20</v>
      </c>
      <c r="E418" s="2" t="s">
        <v>499</v>
      </c>
      <c r="F418" s="2" t="s">
        <v>56</v>
      </c>
      <c r="G418" s="2" t="s">
        <v>66</v>
      </c>
      <c r="H418" s="2" t="s">
        <v>98</v>
      </c>
      <c r="I418" s="2" t="s">
        <v>25</v>
      </c>
      <c r="J418" s="2" t="s">
        <v>62</v>
      </c>
      <c r="K418" s="2">
        <v>9</v>
      </c>
      <c r="L418" s="2">
        <v>3200</v>
      </c>
      <c r="M418" s="2">
        <v>15</v>
      </c>
      <c r="N418" s="2">
        <v>24480</v>
      </c>
      <c r="O418" s="2">
        <v>7079.15</v>
      </c>
      <c r="P418" s="2" t="s">
        <v>27</v>
      </c>
      <c r="Q418" s="2" t="s">
        <v>28</v>
      </c>
    </row>
    <row r="419" spans="1:17" x14ac:dyDescent="0.35">
      <c r="A419" s="3" t="s">
        <v>858</v>
      </c>
      <c r="B419" s="3" t="s">
        <v>622</v>
      </c>
      <c r="C419" s="3" t="s">
        <v>129</v>
      </c>
      <c r="D419" s="3" t="s">
        <v>20</v>
      </c>
      <c r="E419" s="3" t="s">
        <v>399</v>
      </c>
      <c r="F419" s="3" t="s">
        <v>33</v>
      </c>
      <c r="G419" s="3" t="s">
        <v>66</v>
      </c>
      <c r="H419" s="3" t="s">
        <v>67</v>
      </c>
      <c r="I419" s="3" t="s">
        <v>25</v>
      </c>
      <c r="J419" s="3" t="s">
        <v>237</v>
      </c>
      <c r="K419" s="3">
        <v>10</v>
      </c>
      <c r="L419" s="3">
        <v>22000</v>
      </c>
      <c r="M419" s="3">
        <v>20</v>
      </c>
      <c r="N419" s="3">
        <v>176000</v>
      </c>
      <c r="O419" s="3">
        <v>33314.800000000003</v>
      </c>
      <c r="P419" s="3" t="s">
        <v>27</v>
      </c>
      <c r="Q419" s="3" t="s">
        <v>28</v>
      </c>
    </row>
    <row r="420" spans="1:17" x14ac:dyDescent="0.35">
      <c r="A420" s="2" t="s">
        <v>859</v>
      </c>
      <c r="B420" s="2" t="s">
        <v>397</v>
      </c>
      <c r="C420" s="2" t="s">
        <v>46</v>
      </c>
      <c r="D420" s="2" t="s">
        <v>20</v>
      </c>
      <c r="E420" s="2" t="s">
        <v>594</v>
      </c>
      <c r="F420" s="2" t="s">
        <v>56</v>
      </c>
      <c r="G420" s="2" t="s">
        <v>48</v>
      </c>
      <c r="H420" s="2" t="s">
        <v>49</v>
      </c>
      <c r="I420" s="2" t="s">
        <v>25</v>
      </c>
      <c r="J420" s="2" t="s">
        <v>94</v>
      </c>
      <c r="K420" s="2">
        <v>7</v>
      </c>
      <c r="L420" s="2">
        <v>18000</v>
      </c>
      <c r="M420" s="2">
        <v>10</v>
      </c>
      <c r="N420" s="2">
        <v>113400</v>
      </c>
      <c r="O420" s="2">
        <v>36251.35</v>
      </c>
      <c r="P420" s="2" t="s">
        <v>37</v>
      </c>
      <c r="Q420" s="2" t="s">
        <v>28</v>
      </c>
    </row>
    <row r="421" spans="1:17" x14ac:dyDescent="0.35">
      <c r="A421" s="3" t="s">
        <v>860</v>
      </c>
      <c r="B421" s="3" t="s">
        <v>429</v>
      </c>
      <c r="C421" s="3" t="s">
        <v>129</v>
      </c>
      <c r="D421" s="3" t="s">
        <v>20</v>
      </c>
      <c r="E421" s="3" t="s">
        <v>244</v>
      </c>
      <c r="F421" s="3" t="s">
        <v>33</v>
      </c>
      <c r="G421" s="3" t="s">
        <v>23</v>
      </c>
      <c r="H421" s="3" t="s">
        <v>34</v>
      </c>
      <c r="I421" s="3" t="s">
        <v>35</v>
      </c>
      <c r="J421" s="3" t="s">
        <v>138</v>
      </c>
      <c r="K421" s="3">
        <v>2</v>
      </c>
      <c r="L421" s="3">
        <v>799</v>
      </c>
      <c r="M421" s="3">
        <v>5</v>
      </c>
      <c r="N421" s="3">
        <v>1518.1</v>
      </c>
      <c r="O421" s="3">
        <v>189.86</v>
      </c>
      <c r="P421" s="3" t="s">
        <v>27</v>
      </c>
      <c r="Q421" s="3" t="s">
        <v>28</v>
      </c>
    </row>
    <row r="422" spans="1:17" x14ac:dyDescent="0.35">
      <c r="A422" s="2" t="s">
        <v>861</v>
      </c>
      <c r="B422" s="2" t="s">
        <v>395</v>
      </c>
      <c r="C422" s="2" t="s">
        <v>129</v>
      </c>
      <c r="D422" s="2" t="s">
        <v>20</v>
      </c>
      <c r="E422" s="2" t="s">
        <v>175</v>
      </c>
      <c r="F422" s="2" t="s">
        <v>56</v>
      </c>
      <c r="G422" s="2" t="s">
        <v>23</v>
      </c>
      <c r="H422" s="2" t="s">
        <v>131</v>
      </c>
      <c r="I422" s="2" t="s">
        <v>80</v>
      </c>
      <c r="J422" s="2" t="s">
        <v>89</v>
      </c>
      <c r="K422" s="2">
        <v>2</v>
      </c>
      <c r="L422" s="2">
        <v>1500</v>
      </c>
      <c r="M422" s="2">
        <v>10</v>
      </c>
      <c r="N422" s="2">
        <v>2700</v>
      </c>
      <c r="O422" s="2">
        <v>666.6</v>
      </c>
      <c r="P422" s="2" t="s">
        <v>37</v>
      </c>
      <c r="Q422" s="2" t="s">
        <v>28</v>
      </c>
    </row>
    <row r="423" spans="1:17" x14ac:dyDescent="0.35">
      <c r="A423" s="3" t="s">
        <v>862</v>
      </c>
      <c r="B423" s="3" t="s">
        <v>154</v>
      </c>
      <c r="C423" s="3" t="s">
        <v>19</v>
      </c>
      <c r="D423" s="3" t="s">
        <v>20</v>
      </c>
      <c r="E423" s="3" t="s">
        <v>244</v>
      </c>
      <c r="F423" s="3" t="s">
        <v>56</v>
      </c>
      <c r="G423" s="3" t="s">
        <v>48</v>
      </c>
      <c r="H423" s="3" t="s">
        <v>109</v>
      </c>
      <c r="I423" s="3" t="s">
        <v>35</v>
      </c>
      <c r="J423" s="3" t="s">
        <v>126</v>
      </c>
      <c r="K423" s="3">
        <v>9</v>
      </c>
      <c r="L423" s="3">
        <v>1299</v>
      </c>
      <c r="M423" s="3">
        <v>5</v>
      </c>
      <c r="N423" s="3">
        <v>11106.45</v>
      </c>
      <c r="O423" s="3">
        <v>974.19</v>
      </c>
      <c r="P423" s="3" t="s">
        <v>37</v>
      </c>
      <c r="Q423" s="3" t="s">
        <v>28</v>
      </c>
    </row>
    <row r="424" spans="1:17" x14ac:dyDescent="0.35">
      <c r="A424" s="2" t="s">
        <v>863</v>
      </c>
      <c r="B424" s="2" t="s">
        <v>381</v>
      </c>
      <c r="C424" s="2" t="s">
        <v>31</v>
      </c>
      <c r="D424" s="2" t="s">
        <v>20</v>
      </c>
      <c r="E424" s="2" t="s">
        <v>61</v>
      </c>
      <c r="F424" s="2" t="s">
        <v>22</v>
      </c>
      <c r="G424" s="2" t="s">
        <v>48</v>
      </c>
      <c r="H424" s="2" t="s">
        <v>109</v>
      </c>
      <c r="I424" s="2" t="s">
        <v>35</v>
      </c>
      <c r="J424" s="2" t="s">
        <v>36</v>
      </c>
      <c r="K424" s="2">
        <v>3</v>
      </c>
      <c r="L424" s="2">
        <v>1999</v>
      </c>
      <c r="M424" s="2">
        <v>20</v>
      </c>
      <c r="N424" s="2">
        <v>4797.6000000000004</v>
      </c>
      <c r="O424" s="2">
        <v>1157.8900000000001</v>
      </c>
      <c r="P424" s="2" t="s">
        <v>37</v>
      </c>
      <c r="Q424" s="2" t="s">
        <v>28</v>
      </c>
    </row>
    <row r="425" spans="1:17" x14ac:dyDescent="0.35">
      <c r="A425" s="3" t="s">
        <v>864</v>
      </c>
      <c r="B425" s="3" t="s">
        <v>598</v>
      </c>
      <c r="C425" s="3" t="s">
        <v>46</v>
      </c>
      <c r="D425" s="3" t="s">
        <v>20</v>
      </c>
      <c r="E425" s="3" t="s">
        <v>214</v>
      </c>
      <c r="F425" s="3" t="s">
        <v>56</v>
      </c>
      <c r="G425" s="3" t="s">
        <v>48</v>
      </c>
      <c r="H425" s="3" t="s">
        <v>49</v>
      </c>
      <c r="I425" s="3" t="s">
        <v>42</v>
      </c>
      <c r="J425" s="3" t="s">
        <v>184</v>
      </c>
      <c r="K425" s="3">
        <v>4</v>
      </c>
      <c r="L425" s="3">
        <v>120</v>
      </c>
      <c r="M425" s="3">
        <v>0</v>
      </c>
      <c r="N425" s="3">
        <v>480</v>
      </c>
      <c r="O425" s="3">
        <v>95.67</v>
      </c>
      <c r="P425" s="3" t="s">
        <v>37</v>
      </c>
      <c r="Q425" s="3" t="s">
        <v>28</v>
      </c>
    </row>
    <row r="426" spans="1:17" x14ac:dyDescent="0.35">
      <c r="A426" s="2" t="s">
        <v>865</v>
      </c>
      <c r="B426" s="2" t="s">
        <v>440</v>
      </c>
      <c r="C426" s="2" t="s">
        <v>71</v>
      </c>
      <c r="D426" s="2" t="s">
        <v>20</v>
      </c>
      <c r="E426" s="2" t="s">
        <v>562</v>
      </c>
      <c r="F426" s="2" t="s">
        <v>56</v>
      </c>
      <c r="G426" s="2" t="s">
        <v>23</v>
      </c>
      <c r="H426" s="2" t="s">
        <v>34</v>
      </c>
      <c r="I426" s="2" t="s">
        <v>25</v>
      </c>
      <c r="J426" s="2" t="s">
        <v>62</v>
      </c>
      <c r="K426" s="2">
        <v>8</v>
      </c>
      <c r="L426" s="2">
        <v>3200</v>
      </c>
      <c r="M426" s="2">
        <v>20</v>
      </c>
      <c r="N426" s="2">
        <v>20480</v>
      </c>
      <c r="O426" s="2">
        <v>1684.39</v>
      </c>
      <c r="P426" s="2" t="s">
        <v>37</v>
      </c>
      <c r="Q426" s="2" t="s">
        <v>28</v>
      </c>
    </row>
    <row r="427" spans="1:17" x14ac:dyDescent="0.35">
      <c r="A427" s="3" t="s">
        <v>866</v>
      </c>
      <c r="B427" s="3" t="s">
        <v>329</v>
      </c>
      <c r="C427" s="3" t="s">
        <v>78</v>
      </c>
      <c r="D427" s="3" t="s">
        <v>20</v>
      </c>
      <c r="E427" s="3" t="s">
        <v>125</v>
      </c>
      <c r="F427" s="3" t="s">
        <v>56</v>
      </c>
      <c r="G427" s="3" t="s">
        <v>48</v>
      </c>
      <c r="H427" s="3" t="s">
        <v>57</v>
      </c>
      <c r="I427" s="3" t="s">
        <v>50</v>
      </c>
      <c r="J427" s="3" t="s">
        <v>142</v>
      </c>
      <c r="K427" s="3">
        <v>6</v>
      </c>
      <c r="L427" s="3">
        <v>15000</v>
      </c>
      <c r="M427" s="3">
        <v>5</v>
      </c>
      <c r="N427" s="3">
        <v>85500</v>
      </c>
      <c r="O427" s="3">
        <v>16344.92</v>
      </c>
      <c r="P427" s="3" t="s">
        <v>37</v>
      </c>
      <c r="Q427" s="3" t="s">
        <v>28</v>
      </c>
    </row>
    <row r="428" spans="1:17" x14ac:dyDescent="0.35">
      <c r="A428" s="2" t="s">
        <v>867</v>
      </c>
      <c r="B428" s="2" t="s">
        <v>868</v>
      </c>
      <c r="C428" s="2" t="s">
        <v>71</v>
      </c>
      <c r="D428" s="2" t="s">
        <v>20</v>
      </c>
      <c r="E428" s="2" t="s">
        <v>503</v>
      </c>
      <c r="F428" s="2" t="s">
        <v>56</v>
      </c>
      <c r="G428" s="2" t="s">
        <v>73</v>
      </c>
      <c r="H428" s="2" t="s">
        <v>211</v>
      </c>
      <c r="I428" s="2" t="s">
        <v>35</v>
      </c>
      <c r="J428" s="2" t="s">
        <v>138</v>
      </c>
      <c r="K428" s="2">
        <v>2</v>
      </c>
      <c r="L428" s="2">
        <v>799</v>
      </c>
      <c r="M428" s="2">
        <v>15</v>
      </c>
      <c r="N428" s="2">
        <v>1358.3</v>
      </c>
      <c r="O428" s="2">
        <v>338</v>
      </c>
      <c r="P428" s="2" t="s">
        <v>37</v>
      </c>
      <c r="Q428" s="2" t="s">
        <v>28</v>
      </c>
    </row>
    <row r="429" spans="1:17" x14ac:dyDescent="0.35">
      <c r="A429" s="3" t="s">
        <v>869</v>
      </c>
      <c r="B429" s="3" t="s">
        <v>870</v>
      </c>
      <c r="C429" s="3" t="s">
        <v>31</v>
      </c>
      <c r="D429" s="3" t="s">
        <v>20</v>
      </c>
      <c r="E429" s="3" t="s">
        <v>32</v>
      </c>
      <c r="F429" s="3" t="s">
        <v>22</v>
      </c>
      <c r="G429" s="3" t="s">
        <v>48</v>
      </c>
      <c r="H429" s="3" t="s">
        <v>109</v>
      </c>
      <c r="I429" s="3" t="s">
        <v>35</v>
      </c>
      <c r="J429" s="3" t="s">
        <v>205</v>
      </c>
      <c r="K429" s="3">
        <v>3</v>
      </c>
      <c r="L429" s="3">
        <v>499</v>
      </c>
      <c r="M429" s="3">
        <v>5</v>
      </c>
      <c r="N429" s="3">
        <v>1422.15</v>
      </c>
      <c r="O429" s="3">
        <v>224.97</v>
      </c>
      <c r="P429" s="3" t="s">
        <v>37</v>
      </c>
      <c r="Q429" s="3" t="s">
        <v>28</v>
      </c>
    </row>
    <row r="430" spans="1:17" x14ac:dyDescent="0.35">
      <c r="A430" s="2" t="s">
        <v>871</v>
      </c>
      <c r="B430" s="2" t="s">
        <v>872</v>
      </c>
      <c r="C430" s="2" t="s">
        <v>256</v>
      </c>
      <c r="D430" s="2" t="s">
        <v>20</v>
      </c>
      <c r="E430" s="2" t="s">
        <v>292</v>
      </c>
      <c r="F430" s="2" t="s">
        <v>33</v>
      </c>
      <c r="G430" s="2" t="s">
        <v>73</v>
      </c>
      <c r="H430" s="2" t="s">
        <v>105</v>
      </c>
      <c r="I430" s="2" t="s">
        <v>25</v>
      </c>
      <c r="J430" s="2" t="s">
        <v>257</v>
      </c>
      <c r="K430" s="2">
        <v>3</v>
      </c>
      <c r="L430" s="2">
        <v>8500</v>
      </c>
      <c r="M430" s="2">
        <v>0</v>
      </c>
      <c r="N430" s="2">
        <v>25500</v>
      </c>
      <c r="O430" s="2">
        <v>8716.5</v>
      </c>
      <c r="P430" s="2" t="s">
        <v>27</v>
      </c>
      <c r="Q430" s="2" t="s">
        <v>28</v>
      </c>
    </row>
    <row r="431" spans="1:17" x14ac:dyDescent="0.35">
      <c r="A431" s="3" t="s">
        <v>873</v>
      </c>
      <c r="B431" s="3" t="s">
        <v>609</v>
      </c>
      <c r="C431" s="3" t="s">
        <v>40</v>
      </c>
      <c r="D431" s="3" t="s">
        <v>20</v>
      </c>
      <c r="E431" s="3" t="s">
        <v>523</v>
      </c>
      <c r="F431" s="3" t="s">
        <v>56</v>
      </c>
      <c r="G431" s="3" t="s">
        <v>73</v>
      </c>
      <c r="H431" s="3" t="s">
        <v>93</v>
      </c>
      <c r="I431" s="3" t="s">
        <v>35</v>
      </c>
      <c r="J431" s="3" t="s">
        <v>205</v>
      </c>
      <c r="K431" s="3">
        <v>3</v>
      </c>
      <c r="L431" s="3">
        <v>499</v>
      </c>
      <c r="M431" s="3">
        <v>0</v>
      </c>
      <c r="N431" s="3">
        <v>1497</v>
      </c>
      <c r="O431" s="3">
        <v>319.26</v>
      </c>
      <c r="P431" s="3" t="s">
        <v>37</v>
      </c>
      <c r="Q431" s="3" t="s">
        <v>82</v>
      </c>
    </row>
    <row r="432" spans="1:17" x14ac:dyDescent="0.35">
      <c r="A432" s="2" t="s">
        <v>874</v>
      </c>
      <c r="B432" s="2" t="s">
        <v>587</v>
      </c>
      <c r="C432" s="2" t="s">
        <v>46</v>
      </c>
      <c r="D432" s="2" t="s">
        <v>20</v>
      </c>
      <c r="E432" s="2" t="s">
        <v>244</v>
      </c>
      <c r="F432" s="2" t="s">
        <v>22</v>
      </c>
      <c r="G432" s="2" t="s">
        <v>73</v>
      </c>
      <c r="H432" s="2" t="s">
        <v>93</v>
      </c>
      <c r="I432" s="2" t="s">
        <v>25</v>
      </c>
      <c r="J432" s="2" t="s">
        <v>257</v>
      </c>
      <c r="K432" s="2">
        <v>3</v>
      </c>
      <c r="L432" s="2">
        <v>8500</v>
      </c>
      <c r="M432" s="2">
        <v>0</v>
      </c>
      <c r="N432" s="2">
        <v>25500</v>
      </c>
      <c r="O432" s="2">
        <v>3874.88</v>
      </c>
      <c r="P432" s="2" t="s">
        <v>27</v>
      </c>
      <c r="Q432" s="2" t="s">
        <v>28</v>
      </c>
    </row>
    <row r="433" spans="1:17" x14ac:dyDescent="0.35">
      <c r="A433" s="3" t="s">
        <v>875</v>
      </c>
      <c r="B433" s="3" t="s">
        <v>207</v>
      </c>
      <c r="C433" s="3" t="s">
        <v>117</v>
      </c>
      <c r="D433" s="3" t="s">
        <v>20</v>
      </c>
      <c r="E433" s="3" t="s">
        <v>65</v>
      </c>
      <c r="F433" s="3" t="s">
        <v>22</v>
      </c>
      <c r="G433" s="3" t="s">
        <v>48</v>
      </c>
      <c r="H433" s="3" t="s">
        <v>109</v>
      </c>
      <c r="I433" s="3" t="s">
        <v>50</v>
      </c>
      <c r="J433" s="3" t="s">
        <v>58</v>
      </c>
      <c r="K433" s="3">
        <v>4</v>
      </c>
      <c r="L433" s="3">
        <v>18000</v>
      </c>
      <c r="M433" s="3">
        <v>15</v>
      </c>
      <c r="N433" s="3">
        <v>61200</v>
      </c>
      <c r="O433" s="3">
        <v>17639.73</v>
      </c>
      <c r="P433" s="3" t="s">
        <v>27</v>
      </c>
      <c r="Q433" s="3" t="s">
        <v>28</v>
      </c>
    </row>
    <row r="434" spans="1:17" x14ac:dyDescent="0.35">
      <c r="A434" s="2" t="s">
        <v>876</v>
      </c>
      <c r="B434" s="2" t="s">
        <v>793</v>
      </c>
      <c r="C434" s="2" t="s">
        <v>256</v>
      </c>
      <c r="D434" s="2" t="s">
        <v>20</v>
      </c>
      <c r="E434" s="2" t="s">
        <v>421</v>
      </c>
      <c r="F434" s="2" t="s">
        <v>56</v>
      </c>
      <c r="G434" s="2" t="s">
        <v>23</v>
      </c>
      <c r="H434" s="2" t="s">
        <v>34</v>
      </c>
      <c r="I434" s="2" t="s">
        <v>42</v>
      </c>
      <c r="J434" s="2" t="s">
        <v>68</v>
      </c>
      <c r="K434" s="2">
        <v>5</v>
      </c>
      <c r="L434" s="2">
        <v>150</v>
      </c>
      <c r="M434" s="2">
        <v>10</v>
      </c>
      <c r="N434" s="2">
        <v>675</v>
      </c>
      <c r="O434" s="2">
        <v>82.91</v>
      </c>
      <c r="P434" s="2" t="s">
        <v>27</v>
      </c>
      <c r="Q434" s="2" t="s">
        <v>28</v>
      </c>
    </row>
    <row r="435" spans="1:17" x14ac:dyDescent="0.35">
      <c r="A435" s="3" t="s">
        <v>877</v>
      </c>
      <c r="B435" s="3" t="s">
        <v>64</v>
      </c>
      <c r="C435" s="3" t="s">
        <v>40</v>
      </c>
      <c r="D435" s="3" t="s">
        <v>20</v>
      </c>
      <c r="E435" s="3" t="s">
        <v>55</v>
      </c>
      <c r="F435" s="3" t="s">
        <v>33</v>
      </c>
      <c r="G435" s="3" t="s">
        <v>66</v>
      </c>
      <c r="H435" s="3" t="s">
        <v>98</v>
      </c>
      <c r="I435" s="3" t="s">
        <v>50</v>
      </c>
      <c r="J435" s="3" t="s">
        <v>75</v>
      </c>
      <c r="K435" s="3">
        <v>2</v>
      </c>
      <c r="L435" s="3">
        <v>45000</v>
      </c>
      <c r="M435" s="3">
        <v>5</v>
      </c>
      <c r="N435" s="3">
        <v>85500</v>
      </c>
      <c r="O435" s="3">
        <v>21450.7</v>
      </c>
      <c r="P435" s="3" t="s">
        <v>27</v>
      </c>
      <c r="Q435" s="3" t="s">
        <v>28</v>
      </c>
    </row>
    <row r="436" spans="1:17" x14ac:dyDescent="0.35">
      <c r="A436" s="2" t="s">
        <v>878</v>
      </c>
      <c r="B436" s="2" t="s">
        <v>333</v>
      </c>
      <c r="C436" s="2" t="s">
        <v>161</v>
      </c>
      <c r="D436" s="2" t="s">
        <v>20</v>
      </c>
      <c r="E436" s="2" t="s">
        <v>125</v>
      </c>
      <c r="F436" s="2" t="s">
        <v>33</v>
      </c>
      <c r="G436" s="2" t="s">
        <v>73</v>
      </c>
      <c r="H436" s="2" t="s">
        <v>105</v>
      </c>
      <c r="I436" s="2" t="s">
        <v>50</v>
      </c>
      <c r="J436" s="2" t="s">
        <v>58</v>
      </c>
      <c r="K436" s="2">
        <v>10</v>
      </c>
      <c r="L436" s="2">
        <v>18000</v>
      </c>
      <c r="M436" s="2">
        <v>15</v>
      </c>
      <c r="N436" s="2">
        <v>153000</v>
      </c>
      <c r="O436" s="2">
        <v>40678.07</v>
      </c>
      <c r="P436" s="2" t="s">
        <v>37</v>
      </c>
      <c r="Q436" s="2" t="s">
        <v>28</v>
      </c>
    </row>
    <row r="437" spans="1:17" x14ac:dyDescent="0.35">
      <c r="A437" s="3" t="s">
        <v>879</v>
      </c>
      <c r="B437" s="3" t="s">
        <v>459</v>
      </c>
      <c r="C437" s="3" t="s">
        <v>129</v>
      </c>
      <c r="D437" s="3" t="s">
        <v>20</v>
      </c>
      <c r="E437" s="3" t="s">
        <v>175</v>
      </c>
      <c r="F437" s="3" t="s">
        <v>56</v>
      </c>
      <c r="G437" s="3" t="s">
        <v>23</v>
      </c>
      <c r="H437" s="3" t="s">
        <v>194</v>
      </c>
      <c r="I437" s="3" t="s">
        <v>50</v>
      </c>
      <c r="J437" s="3" t="s">
        <v>58</v>
      </c>
      <c r="K437" s="3">
        <v>6</v>
      </c>
      <c r="L437" s="3">
        <v>18000</v>
      </c>
      <c r="M437" s="3">
        <v>5</v>
      </c>
      <c r="N437" s="3">
        <v>102600</v>
      </c>
      <c r="O437" s="3">
        <v>27636.19</v>
      </c>
      <c r="P437" s="3" t="s">
        <v>27</v>
      </c>
      <c r="Q437" s="3" t="s">
        <v>28</v>
      </c>
    </row>
    <row r="438" spans="1:17" x14ac:dyDescent="0.35">
      <c r="A438" s="2" t="s">
        <v>880</v>
      </c>
      <c r="B438" s="2" t="s">
        <v>249</v>
      </c>
      <c r="C438" s="2" t="s">
        <v>134</v>
      </c>
      <c r="D438" s="2" t="s">
        <v>20</v>
      </c>
      <c r="E438" s="2" t="s">
        <v>388</v>
      </c>
      <c r="F438" s="2" t="s">
        <v>56</v>
      </c>
      <c r="G438" s="2" t="s">
        <v>48</v>
      </c>
      <c r="H438" s="2" t="s">
        <v>109</v>
      </c>
      <c r="I438" s="2" t="s">
        <v>35</v>
      </c>
      <c r="J438" s="2" t="s">
        <v>205</v>
      </c>
      <c r="K438" s="2">
        <v>7</v>
      </c>
      <c r="L438" s="2">
        <v>499</v>
      </c>
      <c r="M438" s="2">
        <v>10</v>
      </c>
      <c r="N438" s="2">
        <v>3143.7</v>
      </c>
      <c r="O438" s="2">
        <v>866.37</v>
      </c>
      <c r="P438" s="2" t="s">
        <v>27</v>
      </c>
      <c r="Q438" s="2" t="s">
        <v>28</v>
      </c>
    </row>
    <row r="439" spans="1:17" x14ac:dyDescent="0.35">
      <c r="A439" s="3" t="s">
        <v>881</v>
      </c>
      <c r="B439" s="3" t="s">
        <v>882</v>
      </c>
      <c r="C439" s="3" t="s">
        <v>117</v>
      </c>
      <c r="D439" s="3" t="s">
        <v>20</v>
      </c>
      <c r="E439" s="3" t="s">
        <v>108</v>
      </c>
      <c r="F439" s="3" t="s">
        <v>22</v>
      </c>
      <c r="G439" s="3" t="s">
        <v>48</v>
      </c>
      <c r="H439" s="3" t="s">
        <v>109</v>
      </c>
      <c r="I439" s="3" t="s">
        <v>35</v>
      </c>
      <c r="J439" s="3" t="s">
        <v>36</v>
      </c>
      <c r="K439" s="3">
        <v>3</v>
      </c>
      <c r="L439" s="3">
        <v>1999</v>
      </c>
      <c r="M439" s="3">
        <v>20</v>
      </c>
      <c r="N439" s="3">
        <v>4797.6000000000004</v>
      </c>
      <c r="O439" s="3">
        <v>834.16</v>
      </c>
      <c r="P439" s="3" t="s">
        <v>37</v>
      </c>
      <c r="Q439" s="3" t="s">
        <v>28</v>
      </c>
    </row>
    <row r="440" spans="1:17" x14ac:dyDescent="0.35">
      <c r="A440" s="2" t="s">
        <v>883</v>
      </c>
      <c r="B440" s="2" t="s">
        <v>870</v>
      </c>
      <c r="C440" s="2" t="s">
        <v>31</v>
      </c>
      <c r="D440" s="2" t="s">
        <v>20</v>
      </c>
      <c r="E440" s="2" t="s">
        <v>560</v>
      </c>
      <c r="F440" s="2" t="s">
        <v>22</v>
      </c>
      <c r="G440" s="2" t="s">
        <v>66</v>
      </c>
      <c r="H440" s="2" t="s">
        <v>86</v>
      </c>
      <c r="I440" s="2" t="s">
        <v>25</v>
      </c>
      <c r="J440" s="2" t="s">
        <v>62</v>
      </c>
      <c r="K440" s="2">
        <v>9</v>
      </c>
      <c r="L440" s="2">
        <v>3200</v>
      </c>
      <c r="M440" s="2">
        <v>10</v>
      </c>
      <c r="N440" s="2">
        <v>25920</v>
      </c>
      <c r="O440" s="2">
        <v>5251.43</v>
      </c>
      <c r="P440" s="2" t="s">
        <v>37</v>
      </c>
      <c r="Q440" s="2" t="s">
        <v>82</v>
      </c>
    </row>
    <row r="441" spans="1:17" x14ac:dyDescent="0.35">
      <c r="A441" s="3" t="s">
        <v>884</v>
      </c>
      <c r="B441" s="3" t="s">
        <v>60</v>
      </c>
      <c r="C441" s="3" t="s">
        <v>19</v>
      </c>
      <c r="D441" s="3" t="s">
        <v>20</v>
      </c>
      <c r="E441" s="3" t="s">
        <v>214</v>
      </c>
      <c r="F441" s="3" t="s">
        <v>22</v>
      </c>
      <c r="G441" s="3" t="s">
        <v>48</v>
      </c>
      <c r="H441" s="3" t="s">
        <v>57</v>
      </c>
      <c r="I441" s="3" t="s">
        <v>25</v>
      </c>
      <c r="J441" s="3" t="s">
        <v>257</v>
      </c>
      <c r="K441" s="3">
        <v>9</v>
      </c>
      <c r="L441" s="3">
        <v>8500</v>
      </c>
      <c r="M441" s="3">
        <v>15</v>
      </c>
      <c r="N441" s="3">
        <v>65025</v>
      </c>
      <c r="O441" s="3">
        <v>8535.49</v>
      </c>
      <c r="P441" s="3" t="s">
        <v>37</v>
      </c>
      <c r="Q441" s="3" t="s">
        <v>28</v>
      </c>
    </row>
    <row r="442" spans="1:17" x14ac:dyDescent="0.35">
      <c r="A442" s="2" t="s">
        <v>885</v>
      </c>
      <c r="B442" s="2" t="s">
        <v>886</v>
      </c>
      <c r="C442" s="2" t="s">
        <v>256</v>
      </c>
      <c r="D442" s="2" t="s">
        <v>20</v>
      </c>
      <c r="E442" s="2" t="s">
        <v>65</v>
      </c>
      <c r="F442" s="2" t="s">
        <v>33</v>
      </c>
      <c r="G442" s="2" t="s">
        <v>48</v>
      </c>
      <c r="H442" s="2" t="s">
        <v>109</v>
      </c>
      <c r="I442" s="2" t="s">
        <v>25</v>
      </c>
      <c r="J442" s="2" t="s">
        <v>257</v>
      </c>
      <c r="K442" s="2">
        <v>2</v>
      </c>
      <c r="L442" s="2">
        <v>8500</v>
      </c>
      <c r="M442" s="2">
        <v>20</v>
      </c>
      <c r="N442" s="2">
        <v>13600</v>
      </c>
      <c r="O442" s="2">
        <v>3507.45</v>
      </c>
      <c r="P442" s="2" t="s">
        <v>27</v>
      </c>
      <c r="Q442" s="2" t="s">
        <v>28</v>
      </c>
    </row>
    <row r="443" spans="1:17" x14ac:dyDescent="0.35">
      <c r="A443" s="3" t="s">
        <v>887</v>
      </c>
      <c r="B443" s="3" t="s">
        <v>670</v>
      </c>
      <c r="C443" s="3" t="s">
        <v>71</v>
      </c>
      <c r="D443" s="3" t="s">
        <v>20</v>
      </c>
      <c r="E443" s="3" t="s">
        <v>97</v>
      </c>
      <c r="F443" s="3" t="s">
        <v>33</v>
      </c>
      <c r="G443" s="3" t="s">
        <v>73</v>
      </c>
      <c r="H443" s="3" t="s">
        <v>105</v>
      </c>
      <c r="I443" s="3" t="s">
        <v>50</v>
      </c>
      <c r="J443" s="3" t="s">
        <v>58</v>
      </c>
      <c r="K443" s="3">
        <v>10</v>
      </c>
      <c r="L443" s="3">
        <v>18000</v>
      </c>
      <c r="M443" s="3">
        <v>15</v>
      </c>
      <c r="N443" s="3">
        <v>153000</v>
      </c>
      <c r="O443" s="3">
        <v>39418.730000000003</v>
      </c>
      <c r="P443" s="3" t="s">
        <v>37</v>
      </c>
      <c r="Q443" s="3" t="s">
        <v>28</v>
      </c>
    </row>
    <row r="444" spans="1:17" x14ac:dyDescent="0.35">
      <c r="A444" s="2" t="s">
        <v>888</v>
      </c>
      <c r="B444" s="2" t="s">
        <v>481</v>
      </c>
      <c r="C444" s="2" t="s">
        <v>129</v>
      </c>
      <c r="D444" s="2" t="s">
        <v>20</v>
      </c>
      <c r="E444" s="2" t="s">
        <v>168</v>
      </c>
      <c r="F444" s="2" t="s">
        <v>22</v>
      </c>
      <c r="G444" s="2" t="s">
        <v>23</v>
      </c>
      <c r="H444" s="2" t="s">
        <v>24</v>
      </c>
      <c r="I444" s="2" t="s">
        <v>35</v>
      </c>
      <c r="J444" s="2" t="s">
        <v>172</v>
      </c>
      <c r="K444" s="2">
        <v>2</v>
      </c>
      <c r="L444" s="2">
        <v>2499</v>
      </c>
      <c r="M444" s="2">
        <v>15</v>
      </c>
      <c r="N444" s="2">
        <v>4248.3</v>
      </c>
      <c r="O444" s="2">
        <v>1258.67</v>
      </c>
      <c r="P444" s="2" t="s">
        <v>37</v>
      </c>
      <c r="Q444" s="2" t="s">
        <v>82</v>
      </c>
    </row>
    <row r="445" spans="1:17" x14ac:dyDescent="0.35">
      <c r="A445" s="3" t="s">
        <v>889</v>
      </c>
      <c r="B445" s="3" t="s">
        <v>622</v>
      </c>
      <c r="C445" s="3" t="s">
        <v>129</v>
      </c>
      <c r="D445" s="3" t="s">
        <v>20</v>
      </c>
      <c r="E445" s="3" t="s">
        <v>337</v>
      </c>
      <c r="F445" s="3" t="s">
        <v>33</v>
      </c>
      <c r="G445" s="3" t="s">
        <v>73</v>
      </c>
      <c r="H445" s="3" t="s">
        <v>74</v>
      </c>
      <c r="I445" s="3" t="s">
        <v>50</v>
      </c>
      <c r="J445" s="3" t="s">
        <v>142</v>
      </c>
      <c r="K445" s="3">
        <v>5</v>
      </c>
      <c r="L445" s="3">
        <v>15000</v>
      </c>
      <c r="M445" s="3">
        <v>20</v>
      </c>
      <c r="N445" s="3">
        <v>60000</v>
      </c>
      <c r="O445" s="3">
        <v>5458.58</v>
      </c>
      <c r="P445" s="3" t="s">
        <v>37</v>
      </c>
      <c r="Q445" s="3" t="s">
        <v>82</v>
      </c>
    </row>
    <row r="446" spans="1:17" x14ac:dyDescent="0.35">
      <c r="A446" s="2" t="s">
        <v>890</v>
      </c>
      <c r="B446" s="2" t="s">
        <v>392</v>
      </c>
      <c r="C446" s="2" t="s">
        <v>19</v>
      </c>
      <c r="D446" s="2" t="s">
        <v>20</v>
      </c>
      <c r="E446" s="2" t="s">
        <v>267</v>
      </c>
      <c r="F446" s="2" t="s">
        <v>22</v>
      </c>
      <c r="G446" s="2" t="s">
        <v>23</v>
      </c>
      <c r="H446" s="2" t="s">
        <v>24</v>
      </c>
      <c r="I446" s="2" t="s">
        <v>35</v>
      </c>
      <c r="J446" s="2" t="s">
        <v>36</v>
      </c>
      <c r="K446" s="2">
        <v>7</v>
      </c>
      <c r="L446" s="2">
        <v>1999</v>
      </c>
      <c r="M446" s="2">
        <v>5</v>
      </c>
      <c r="N446" s="2">
        <v>13293.35</v>
      </c>
      <c r="O446" s="2">
        <v>1756.61</v>
      </c>
      <c r="P446" s="2" t="s">
        <v>27</v>
      </c>
      <c r="Q446" s="2" t="s">
        <v>82</v>
      </c>
    </row>
    <row r="447" spans="1:17" x14ac:dyDescent="0.35">
      <c r="A447" s="3" t="s">
        <v>891</v>
      </c>
      <c r="B447" s="3" t="s">
        <v>729</v>
      </c>
      <c r="C447" s="3" t="s">
        <v>161</v>
      </c>
      <c r="D447" s="3" t="s">
        <v>20</v>
      </c>
      <c r="E447" s="3" t="s">
        <v>122</v>
      </c>
      <c r="F447" s="3" t="s">
        <v>22</v>
      </c>
      <c r="G447" s="3" t="s">
        <v>73</v>
      </c>
      <c r="H447" s="3" t="s">
        <v>93</v>
      </c>
      <c r="I447" s="3" t="s">
        <v>80</v>
      </c>
      <c r="J447" s="3" t="s">
        <v>240</v>
      </c>
      <c r="K447" s="3">
        <v>8</v>
      </c>
      <c r="L447" s="3">
        <v>600</v>
      </c>
      <c r="M447" s="3">
        <v>15</v>
      </c>
      <c r="N447" s="3">
        <v>4080</v>
      </c>
      <c r="O447" s="3">
        <v>1298.92</v>
      </c>
      <c r="P447" s="3" t="s">
        <v>27</v>
      </c>
      <c r="Q447" s="3" t="s">
        <v>28</v>
      </c>
    </row>
    <row r="448" spans="1:17" x14ac:dyDescent="0.35">
      <c r="A448" s="2" t="s">
        <v>892</v>
      </c>
      <c r="B448" s="2" t="s">
        <v>893</v>
      </c>
      <c r="C448" s="2" t="s">
        <v>46</v>
      </c>
      <c r="D448" s="2" t="s">
        <v>20</v>
      </c>
      <c r="E448" s="2" t="s">
        <v>295</v>
      </c>
      <c r="F448" s="2" t="s">
        <v>22</v>
      </c>
      <c r="G448" s="2" t="s">
        <v>66</v>
      </c>
      <c r="H448" s="2" t="s">
        <v>86</v>
      </c>
      <c r="I448" s="2" t="s">
        <v>25</v>
      </c>
      <c r="J448" s="2" t="s">
        <v>62</v>
      </c>
      <c r="K448" s="2">
        <v>9</v>
      </c>
      <c r="L448" s="2">
        <v>3200</v>
      </c>
      <c r="M448" s="2">
        <v>10</v>
      </c>
      <c r="N448" s="2">
        <v>25920</v>
      </c>
      <c r="O448" s="2">
        <v>7986.23</v>
      </c>
      <c r="P448" s="2" t="s">
        <v>37</v>
      </c>
      <c r="Q448" s="2" t="s">
        <v>28</v>
      </c>
    </row>
    <row r="449" spans="1:17" x14ac:dyDescent="0.35">
      <c r="A449" s="3" t="s">
        <v>894</v>
      </c>
      <c r="B449" s="3" t="s">
        <v>447</v>
      </c>
      <c r="C449" s="3" t="s">
        <v>46</v>
      </c>
      <c r="D449" s="3" t="s">
        <v>20</v>
      </c>
      <c r="E449" s="3" t="s">
        <v>65</v>
      </c>
      <c r="F449" s="3" t="s">
        <v>22</v>
      </c>
      <c r="G449" s="3" t="s">
        <v>66</v>
      </c>
      <c r="H449" s="3" t="s">
        <v>86</v>
      </c>
      <c r="I449" s="3" t="s">
        <v>80</v>
      </c>
      <c r="J449" s="3" t="s">
        <v>240</v>
      </c>
      <c r="K449" s="3">
        <v>6</v>
      </c>
      <c r="L449" s="3">
        <v>600</v>
      </c>
      <c r="M449" s="3">
        <v>15</v>
      </c>
      <c r="N449" s="3">
        <v>3060</v>
      </c>
      <c r="O449" s="3">
        <v>614.52</v>
      </c>
      <c r="P449" s="3" t="s">
        <v>27</v>
      </c>
      <c r="Q449" s="3" t="s">
        <v>82</v>
      </c>
    </row>
    <row r="450" spans="1:17" x14ac:dyDescent="0.35">
      <c r="A450" s="2" t="s">
        <v>895</v>
      </c>
      <c r="B450" s="2" t="s">
        <v>144</v>
      </c>
      <c r="C450" s="2" t="s">
        <v>40</v>
      </c>
      <c r="D450" s="2" t="s">
        <v>20</v>
      </c>
      <c r="E450" s="2" t="s">
        <v>55</v>
      </c>
      <c r="F450" s="2" t="s">
        <v>22</v>
      </c>
      <c r="G450" s="2" t="s">
        <v>23</v>
      </c>
      <c r="H450" s="2" t="s">
        <v>34</v>
      </c>
      <c r="I450" s="2" t="s">
        <v>25</v>
      </c>
      <c r="J450" s="2" t="s">
        <v>257</v>
      </c>
      <c r="K450" s="2">
        <v>5</v>
      </c>
      <c r="L450" s="2">
        <v>8500</v>
      </c>
      <c r="M450" s="2">
        <v>5</v>
      </c>
      <c r="N450" s="2">
        <v>40375</v>
      </c>
      <c r="O450" s="2">
        <v>5571.84</v>
      </c>
      <c r="P450" s="2" t="s">
        <v>27</v>
      </c>
      <c r="Q450" s="2" t="s">
        <v>82</v>
      </c>
    </row>
    <row r="451" spans="1:17" x14ac:dyDescent="0.35">
      <c r="A451" s="3" t="s">
        <v>896</v>
      </c>
      <c r="B451" s="3" t="s">
        <v>598</v>
      </c>
      <c r="C451" s="3" t="s">
        <v>46</v>
      </c>
      <c r="D451" s="3" t="s">
        <v>20</v>
      </c>
      <c r="E451" s="3" t="s">
        <v>260</v>
      </c>
      <c r="F451" s="3" t="s">
        <v>33</v>
      </c>
      <c r="G451" s="3" t="s">
        <v>66</v>
      </c>
      <c r="H451" s="3" t="s">
        <v>114</v>
      </c>
      <c r="I451" s="3" t="s">
        <v>50</v>
      </c>
      <c r="J451" s="3" t="s">
        <v>51</v>
      </c>
      <c r="K451" s="3">
        <v>6</v>
      </c>
      <c r="L451" s="3">
        <v>32000</v>
      </c>
      <c r="M451" s="3">
        <v>5</v>
      </c>
      <c r="N451" s="3">
        <v>182400</v>
      </c>
      <c r="O451" s="3">
        <v>21408.33</v>
      </c>
      <c r="P451" s="3" t="s">
        <v>27</v>
      </c>
      <c r="Q451" s="3" t="s">
        <v>28</v>
      </c>
    </row>
    <row r="452" spans="1:17" x14ac:dyDescent="0.35">
      <c r="A452" s="2" t="s">
        <v>897</v>
      </c>
      <c r="B452" s="2" t="s">
        <v>387</v>
      </c>
      <c r="C452" s="2" t="s">
        <v>161</v>
      </c>
      <c r="D452" s="2" t="s">
        <v>20</v>
      </c>
      <c r="E452" s="2" t="s">
        <v>201</v>
      </c>
      <c r="F452" s="2" t="s">
        <v>22</v>
      </c>
      <c r="G452" s="2" t="s">
        <v>23</v>
      </c>
      <c r="H452" s="2" t="s">
        <v>131</v>
      </c>
      <c r="I452" s="2" t="s">
        <v>80</v>
      </c>
      <c r="J452" s="2" t="s">
        <v>119</v>
      </c>
      <c r="K452" s="2">
        <v>2</v>
      </c>
      <c r="L452" s="2">
        <v>800</v>
      </c>
      <c r="M452" s="2">
        <v>10</v>
      </c>
      <c r="N452" s="2">
        <v>1440</v>
      </c>
      <c r="O452" s="2">
        <v>423.48</v>
      </c>
      <c r="P452" s="2" t="s">
        <v>37</v>
      </c>
      <c r="Q452" s="2" t="s">
        <v>28</v>
      </c>
    </row>
    <row r="453" spans="1:17" x14ac:dyDescent="0.35">
      <c r="A453" s="3" t="s">
        <v>898</v>
      </c>
      <c r="B453" s="3" t="s">
        <v>899</v>
      </c>
      <c r="C453" s="3" t="s">
        <v>40</v>
      </c>
      <c r="D453" s="3" t="s">
        <v>20</v>
      </c>
      <c r="E453" s="3" t="s">
        <v>234</v>
      </c>
      <c r="F453" s="3" t="s">
        <v>56</v>
      </c>
      <c r="G453" s="3" t="s">
        <v>23</v>
      </c>
      <c r="H453" s="3" t="s">
        <v>194</v>
      </c>
      <c r="I453" s="3" t="s">
        <v>50</v>
      </c>
      <c r="J453" s="3" t="s">
        <v>142</v>
      </c>
      <c r="K453" s="3">
        <v>7</v>
      </c>
      <c r="L453" s="3">
        <v>15000</v>
      </c>
      <c r="M453" s="3">
        <v>0</v>
      </c>
      <c r="N453" s="3">
        <v>105000</v>
      </c>
      <c r="O453" s="3">
        <v>30516.46</v>
      </c>
      <c r="P453" s="3" t="s">
        <v>37</v>
      </c>
      <c r="Q453" s="3" t="s">
        <v>82</v>
      </c>
    </row>
    <row r="454" spans="1:17" x14ac:dyDescent="0.35">
      <c r="A454" s="2" t="s">
        <v>900</v>
      </c>
      <c r="B454" s="2" t="s">
        <v>793</v>
      </c>
      <c r="C454" s="2" t="s">
        <v>256</v>
      </c>
      <c r="D454" s="2" t="s">
        <v>20</v>
      </c>
      <c r="E454" s="2" t="s">
        <v>190</v>
      </c>
      <c r="F454" s="2" t="s">
        <v>22</v>
      </c>
      <c r="G454" s="2" t="s">
        <v>23</v>
      </c>
      <c r="H454" s="2" t="s">
        <v>34</v>
      </c>
      <c r="I454" s="2" t="s">
        <v>80</v>
      </c>
      <c r="J454" s="2" t="s">
        <v>89</v>
      </c>
      <c r="K454" s="2">
        <v>7</v>
      </c>
      <c r="L454" s="2">
        <v>1500</v>
      </c>
      <c r="M454" s="2">
        <v>0</v>
      </c>
      <c r="N454" s="2">
        <v>10500</v>
      </c>
      <c r="O454" s="2">
        <v>1704.06</v>
      </c>
      <c r="P454" s="2" t="s">
        <v>37</v>
      </c>
      <c r="Q454" s="2" t="s">
        <v>28</v>
      </c>
    </row>
    <row r="455" spans="1:17" x14ac:dyDescent="0.35">
      <c r="A455" s="3" t="s">
        <v>901</v>
      </c>
      <c r="B455" s="3" t="s">
        <v>902</v>
      </c>
      <c r="C455" s="3" t="s">
        <v>129</v>
      </c>
      <c r="D455" s="3" t="s">
        <v>20</v>
      </c>
      <c r="E455" s="3" t="s">
        <v>47</v>
      </c>
      <c r="F455" s="3" t="s">
        <v>56</v>
      </c>
      <c r="G455" s="3" t="s">
        <v>66</v>
      </c>
      <c r="H455" s="3" t="s">
        <v>67</v>
      </c>
      <c r="I455" s="3" t="s">
        <v>50</v>
      </c>
      <c r="J455" s="3" t="s">
        <v>51</v>
      </c>
      <c r="K455" s="3">
        <v>8</v>
      </c>
      <c r="L455" s="3">
        <v>32000</v>
      </c>
      <c r="M455" s="3">
        <v>20</v>
      </c>
      <c r="N455" s="3">
        <v>204800</v>
      </c>
      <c r="O455" s="3">
        <v>48193.29</v>
      </c>
      <c r="P455" s="3" t="s">
        <v>27</v>
      </c>
      <c r="Q455" s="3" t="s">
        <v>28</v>
      </c>
    </row>
    <row r="456" spans="1:17" x14ac:dyDescent="0.35">
      <c r="A456" s="2" t="s">
        <v>903</v>
      </c>
      <c r="B456" s="2" t="s">
        <v>904</v>
      </c>
      <c r="C456" s="2" t="s">
        <v>78</v>
      </c>
      <c r="D456" s="2" t="s">
        <v>20</v>
      </c>
      <c r="E456" s="2" t="s">
        <v>393</v>
      </c>
      <c r="F456" s="2" t="s">
        <v>56</v>
      </c>
      <c r="G456" s="2" t="s">
        <v>66</v>
      </c>
      <c r="H456" s="2" t="s">
        <v>67</v>
      </c>
      <c r="I456" s="2" t="s">
        <v>25</v>
      </c>
      <c r="J456" s="2" t="s">
        <v>257</v>
      </c>
      <c r="K456" s="2">
        <v>8</v>
      </c>
      <c r="L456" s="2">
        <v>8500</v>
      </c>
      <c r="M456" s="2">
        <v>20</v>
      </c>
      <c r="N456" s="2">
        <v>54400</v>
      </c>
      <c r="O456" s="2">
        <v>15299.19</v>
      </c>
      <c r="P456" s="2" t="s">
        <v>37</v>
      </c>
      <c r="Q456" s="2" t="s">
        <v>28</v>
      </c>
    </row>
    <row r="457" spans="1:17" x14ac:dyDescent="0.35">
      <c r="A457" s="3" t="s">
        <v>905</v>
      </c>
      <c r="B457" s="3" t="s">
        <v>906</v>
      </c>
      <c r="C457" s="3" t="s">
        <v>31</v>
      </c>
      <c r="D457" s="3" t="s">
        <v>20</v>
      </c>
      <c r="E457" s="3" t="s">
        <v>499</v>
      </c>
      <c r="F457" s="3" t="s">
        <v>22</v>
      </c>
      <c r="G457" s="3" t="s">
        <v>73</v>
      </c>
      <c r="H457" s="3" t="s">
        <v>105</v>
      </c>
      <c r="I457" s="3" t="s">
        <v>35</v>
      </c>
      <c r="J457" s="3" t="s">
        <v>172</v>
      </c>
      <c r="K457" s="3">
        <v>9</v>
      </c>
      <c r="L457" s="3">
        <v>2499</v>
      </c>
      <c r="M457" s="3">
        <v>5</v>
      </c>
      <c r="N457" s="3">
        <v>21366.45</v>
      </c>
      <c r="O457" s="3">
        <v>4523.76</v>
      </c>
      <c r="P457" s="3" t="s">
        <v>27</v>
      </c>
      <c r="Q457" s="3" t="s">
        <v>82</v>
      </c>
    </row>
    <row r="458" spans="1:17" x14ac:dyDescent="0.35">
      <c r="A458" s="2" t="s">
        <v>907</v>
      </c>
      <c r="B458" s="2" t="s">
        <v>908</v>
      </c>
      <c r="C458" s="2" t="s">
        <v>78</v>
      </c>
      <c r="D458" s="2" t="s">
        <v>20</v>
      </c>
      <c r="E458" s="2" t="s">
        <v>145</v>
      </c>
      <c r="F458" s="2" t="s">
        <v>33</v>
      </c>
      <c r="G458" s="2" t="s">
        <v>66</v>
      </c>
      <c r="H458" s="2" t="s">
        <v>67</v>
      </c>
      <c r="I458" s="2" t="s">
        <v>50</v>
      </c>
      <c r="J458" s="2" t="s">
        <v>198</v>
      </c>
      <c r="K458" s="2">
        <v>7</v>
      </c>
      <c r="L458" s="2">
        <v>2500</v>
      </c>
      <c r="M458" s="2">
        <v>10</v>
      </c>
      <c r="N458" s="2">
        <v>15750</v>
      </c>
      <c r="O458" s="2">
        <v>4171.8500000000004</v>
      </c>
      <c r="P458" s="2" t="s">
        <v>27</v>
      </c>
      <c r="Q458" s="2" t="s">
        <v>28</v>
      </c>
    </row>
    <row r="459" spans="1:17" x14ac:dyDescent="0.35">
      <c r="A459" s="3" t="s">
        <v>909</v>
      </c>
      <c r="B459" s="3" t="s">
        <v>711</v>
      </c>
      <c r="C459" s="3" t="s">
        <v>40</v>
      </c>
      <c r="D459" s="3" t="s">
        <v>20</v>
      </c>
      <c r="E459" s="3" t="s">
        <v>499</v>
      </c>
      <c r="F459" s="3" t="s">
        <v>56</v>
      </c>
      <c r="G459" s="3" t="s">
        <v>48</v>
      </c>
      <c r="H459" s="3" t="s">
        <v>49</v>
      </c>
      <c r="I459" s="3" t="s">
        <v>35</v>
      </c>
      <c r="J459" s="3" t="s">
        <v>138</v>
      </c>
      <c r="K459" s="3">
        <v>6</v>
      </c>
      <c r="L459" s="3">
        <v>799</v>
      </c>
      <c r="M459" s="3">
        <v>20</v>
      </c>
      <c r="N459" s="3">
        <v>3835.2</v>
      </c>
      <c r="O459" s="3">
        <v>985.5</v>
      </c>
      <c r="P459" s="3" t="s">
        <v>27</v>
      </c>
      <c r="Q459" s="3" t="s">
        <v>28</v>
      </c>
    </row>
    <row r="460" spans="1:17" x14ac:dyDescent="0.35">
      <c r="A460" s="2" t="s">
        <v>910</v>
      </c>
      <c r="B460" s="2" t="s">
        <v>333</v>
      </c>
      <c r="C460" s="2" t="s">
        <v>161</v>
      </c>
      <c r="D460" s="2" t="s">
        <v>20</v>
      </c>
      <c r="E460" s="2" t="s">
        <v>162</v>
      </c>
      <c r="F460" s="2" t="s">
        <v>33</v>
      </c>
      <c r="G460" s="2" t="s">
        <v>73</v>
      </c>
      <c r="H460" s="2" t="s">
        <v>105</v>
      </c>
      <c r="I460" s="2" t="s">
        <v>42</v>
      </c>
      <c r="J460" s="2" t="s">
        <v>187</v>
      </c>
      <c r="K460" s="2">
        <v>4</v>
      </c>
      <c r="L460" s="2">
        <v>350</v>
      </c>
      <c r="M460" s="2">
        <v>5</v>
      </c>
      <c r="N460" s="2">
        <v>1330</v>
      </c>
      <c r="O460" s="2">
        <v>352.51</v>
      </c>
      <c r="P460" s="2" t="s">
        <v>27</v>
      </c>
      <c r="Q460" s="2" t="s">
        <v>28</v>
      </c>
    </row>
    <row r="461" spans="1:17" x14ac:dyDescent="0.35">
      <c r="A461" s="3" t="s">
        <v>911</v>
      </c>
      <c r="B461" s="3" t="s">
        <v>872</v>
      </c>
      <c r="C461" s="3" t="s">
        <v>256</v>
      </c>
      <c r="D461" s="3" t="s">
        <v>20</v>
      </c>
      <c r="E461" s="3" t="s">
        <v>162</v>
      </c>
      <c r="F461" s="3" t="s">
        <v>33</v>
      </c>
      <c r="G461" s="3" t="s">
        <v>66</v>
      </c>
      <c r="H461" s="3" t="s">
        <v>98</v>
      </c>
      <c r="I461" s="3" t="s">
        <v>50</v>
      </c>
      <c r="J461" s="3" t="s">
        <v>198</v>
      </c>
      <c r="K461" s="3">
        <v>2</v>
      </c>
      <c r="L461" s="3">
        <v>2500</v>
      </c>
      <c r="M461" s="3">
        <v>10</v>
      </c>
      <c r="N461" s="3">
        <v>4500</v>
      </c>
      <c r="O461" s="3">
        <v>906.82</v>
      </c>
      <c r="P461" s="3" t="s">
        <v>37</v>
      </c>
      <c r="Q461" s="3" t="s">
        <v>28</v>
      </c>
    </row>
    <row r="462" spans="1:17" x14ac:dyDescent="0.35">
      <c r="A462" s="2" t="s">
        <v>912</v>
      </c>
      <c r="B462" s="2" t="s">
        <v>751</v>
      </c>
      <c r="C462" s="2" t="s">
        <v>19</v>
      </c>
      <c r="D462" s="2" t="s">
        <v>20</v>
      </c>
      <c r="E462" s="2" t="s">
        <v>247</v>
      </c>
      <c r="F462" s="2" t="s">
        <v>56</v>
      </c>
      <c r="G462" s="2" t="s">
        <v>66</v>
      </c>
      <c r="H462" s="2" t="s">
        <v>98</v>
      </c>
      <c r="I462" s="2" t="s">
        <v>80</v>
      </c>
      <c r="J462" s="2" t="s">
        <v>110</v>
      </c>
      <c r="K462" s="2">
        <v>10</v>
      </c>
      <c r="L462" s="2">
        <v>1200</v>
      </c>
      <c r="M462" s="2">
        <v>5</v>
      </c>
      <c r="N462" s="2">
        <v>11400</v>
      </c>
      <c r="O462" s="2">
        <v>3051.43</v>
      </c>
      <c r="P462" s="2" t="s">
        <v>27</v>
      </c>
      <c r="Q462" s="2" t="s">
        <v>82</v>
      </c>
    </row>
    <row r="463" spans="1:17" x14ac:dyDescent="0.35">
      <c r="A463" s="3" t="s">
        <v>913</v>
      </c>
      <c r="B463" s="3" t="s">
        <v>264</v>
      </c>
      <c r="C463" s="3" t="s">
        <v>31</v>
      </c>
      <c r="D463" s="3" t="s">
        <v>20</v>
      </c>
      <c r="E463" s="3" t="s">
        <v>460</v>
      </c>
      <c r="F463" s="3" t="s">
        <v>33</v>
      </c>
      <c r="G463" s="3" t="s">
        <v>23</v>
      </c>
      <c r="H463" s="3" t="s">
        <v>194</v>
      </c>
      <c r="I463" s="3" t="s">
        <v>35</v>
      </c>
      <c r="J463" s="3" t="s">
        <v>205</v>
      </c>
      <c r="K463" s="3">
        <v>5</v>
      </c>
      <c r="L463" s="3">
        <v>499</v>
      </c>
      <c r="M463" s="3">
        <v>5</v>
      </c>
      <c r="N463" s="3">
        <v>2370.25</v>
      </c>
      <c r="O463" s="3">
        <v>694.67</v>
      </c>
      <c r="P463" s="3" t="s">
        <v>37</v>
      </c>
      <c r="Q463" s="3" t="s">
        <v>28</v>
      </c>
    </row>
    <row r="464" spans="1:17" x14ac:dyDescent="0.35">
      <c r="A464" s="2" t="s">
        <v>914</v>
      </c>
      <c r="B464" s="2" t="s">
        <v>30</v>
      </c>
      <c r="C464" s="2" t="s">
        <v>31</v>
      </c>
      <c r="D464" s="2" t="s">
        <v>20</v>
      </c>
      <c r="E464" s="2" t="s">
        <v>41</v>
      </c>
      <c r="F464" s="2" t="s">
        <v>33</v>
      </c>
      <c r="G464" s="2" t="s">
        <v>23</v>
      </c>
      <c r="H464" s="2" t="s">
        <v>24</v>
      </c>
      <c r="I464" s="2" t="s">
        <v>42</v>
      </c>
      <c r="J464" s="2" t="s">
        <v>43</v>
      </c>
      <c r="K464" s="2">
        <v>6</v>
      </c>
      <c r="L464" s="2">
        <v>220</v>
      </c>
      <c r="M464" s="2">
        <v>0</v>
      </c>
      <c r="N464" s="2">
        <v>1320</v>
      </c>
      <c r="O464" s="2">
        <v>112.4</v>
      </c>
      <c r="P464" s="2" t="s">
        <v>37</v>
      </c>
      <c r="Q464" s="2" t="s">
        <v>28</v>
      </c>
    </row>
    <row r="465" spans="1:17" x14ac:dyDescent="0.35">
      <c r="A465" s="3" t="s">
        <v>915</v>
      </c>
      <c r="B465" s="3" t="s">
        <v>916</v>
      </c>
      <c r="C465" s="3" t="s">
        <v>71</v>
      </c>
      <c r="D465" s="3" t="s">
        <v>20</v>
      </c>
      <c r="E465" s="3" t="s">
        <v>348</v>
      </c>
      <c r="F465" s="3" t="s">
        <v>22</v>
      </c>
      <c r="G465" s="3" t="s">
        <v>23</v>
      </c>
      <c r="H465" s="3" t="s">
        <v>194</v>
      </c>
      <c r="I465" s="3" t="s">
        <v>42</v>
      </c>
      <c r="J465" s="3" t="s">
        <v>184</v>
      </c>
      <c r="K465" s="3">
        <v>9</v>
      </c>
      <c r="L465" s="3">
        <v>120</v>
      </c>
      <c r="M465" s="3">
        <v>0</v>
      </c>
      <c r="N465" s="3">
        <v>1080</v>
      </c>
      <c r="O465" s="3">
        <v>140.76</v>
      </c>
      <c r="P465" s="3" t="s">
        <v>37</v>
      </c>
      <c r="Q465" s="3" t="s">
        <v>28</v>
      </c>
    </row>
    <row r="466" spans="1:17" x14ac:dyDescent="0.35">
      <c r="A466" s="2" t="s">
        <v>917</v>
      </c>
      <c r="B466" s="2" t="s">
        <v>420</v>
      </c>
      <c r="C466" s="2" t="s">
        <v>19</v>
      </c>
      <c r="D466" s="2" t="s">
        <v>20</v>
      </c>
      <c r="E466" s="2" t="s">
        <v>267</v>
      </c>
      <c r="F466" s="2" t="s">
        <v>56</v>
      </c>
      <c r="G466" s="2" t="s">
        <v>66</v>
      </c>
      <c r="H466" s="2" t="s">
        <v>98</v>
      </c>
      <c r="I466" s="2" t="s">
        <v>25</v>
      </c>
      <c r="J466" s="2" t="s">
        <v>237</v>
      </c>
      <c r="K466" s="2">
        <v>7</v>
      </c>
      <c r="L466" s="2">
        <v>22000</v>
      </c>
      <c r="M466" s="2">
        <v>5</v>
      </c>
      <c r="N466" s="2">
        <v>146300</v>
      </c>
      <c r="O466" s="2">
        <v>12429.72</v>
      </c>
      <c r="P466" s="2" t="s">
        <v>37</v>
      </c>
      <c r="Q466" s="2" t="s">
        <v>28</v>
      </c>
    </row>
    <row r="467" spans="1:17" x14ac:dyDescent="0.35">
      <c r="A467" s="3" t="s">
        <v>918</v>
      </c>
      <c r="B467" s="3" t="s">
        <v>287</v>
      </c>
      <c r="C467" s="3" t="s">
        <v>54</v>
      </c>
      <c r="D467" s="3" t="s">
        <v>20</v>
      </c>
      <c r="E467" s="3" t="s">
        <v>474</v>
      </c>
      <c r="F467" s="3" t="s">
        <v>56</v>
      </c>
      <c r="G467" s="3" t="s">
        <v>48</v>
      </c>
      <c r="H467" s="3" t="s">
        <v>169</v>
      </c>
      <c r="I467" s="3" t="s">
        <v>25</v>
      </c>
      <c r="J467" s="3" t="s">
        <v>237</v>
      </c>
      <c r="K467" s="3">
        <v>1</v>
      </c>
      <c r="L467" s="3">
        <v>22000</v>
      </c>
      <c r="M467" s="3">
        <v>20</v>
      </c>
      <c r="N467" s="3">
        <v>17600</v>
      </c>
      <c r="O467" s="3">
        <v>5918.2</v>
      </c>
      <c r="P467" s="3" t="s">
        <v>27</v>
      </c>
      <c r="Q467" s="3" t="s">
        <v>28</v>
      </c>
    </row>
    <row r="468" spans="1:17" x14ac:dyDescent="0.35">
      <c r="A468" s="2" t="s">
        <v>919</v>
      </c>
      <c r="B468" s="2" t="s">
        <v>920</v>
      </c>
      <c r="C468" s="2" t="s">
        <v>161</v>
      </c>
      <c r="D468" s="2" t="s">
        <v>20</v>
      </c>
      <c r="E468" s="2" t="s">
        <v>385</v>
      </c>
      <c r="F468" s="2" t="s">
        <v>56</v>
      </c>
      <c r="G468" s="2" t="s">
        <v>23</v>
      </c>
      <c r="H468" s="2" t="s">
        <v>131</v>
      </c>
      <c r="I468" s="2" t="s">
        <v>80</v>
      </c>
      <c r="J468" s="2" t="s">
        <v>81</v>
      </c>
      <c r="K468" s="2">
        <v>4</v>
      </c>
      <c r="L468" s="2">
        <v>950</v>
      </c>
      <c r="M468" s="2">
        <v>15</v>
      </c>
      <c r="N468" s="2">
        <v>3230</v>
      </c>
      <c r="O468" s="2">
        <v>468.02</v>
      </c>
      <c r="P468" s="2" t="s">
        <v>37</v>
      </c>
      <c r="Q468" s="2" t="s">
        <v>28</v>
      </c>
    </row>
    <row r="469" spans="1:17" x14ac:dyDescent="0.35">
      <c r="A469" s="3" t="s">
        <v>921</v>
      </c>
      <c r="B469" s="3" t="s">
        <v>375</v>
      </c>
      <c r="C469" s="3" t="s">
        <v>40</v>
      </c>
      <c r="D469" s="3" t="s">
        <v>20</v>
      </c>
      <c r="E469" s="3" t="s">
        <v>101</v>
      </c>
      <c r="F469" s="3" t="s">
        <v>56</v>
      </c>
      <c r="G469" s="3" t="s">
        <v>66</v>
      </c>
      <c r="H469" s="3" t="s">
        <v>67</v>
      </c>
      <c r="I469" s="3" t="s">
        <v>35</v>
      </c>
      <c r="J469" s="3" t="s">
        <v>36</v>
      </c>
      <c r="K469" s="3">
        <v>9</v>
      </c>
      <c r="L469" s="3">
        <v>1999</v>
      </c>
      <c r="M469" s="3">
        <v>5</v>
      </c>
      <c r="N469" s="3">
        <v>17091.45</v>
      </c>
      <c r="O469" s="3">
        <v>5347.89</v>
      </c>
      <c r="P469" s="3" t="s">
        <v>27</v>
      </c>
      <c r="Q469" s="3" t="s">
        <v>28</v>
      </c>
    </row>
    <row r="470" spans="1:17" x14ac:dyDescent="0.35">
      <c r="A470" s="2" t="s">
        <v>922</v>
      </c>
      <c r="B470" s="2" t="s">
        <v>341</v>
      </c>
      <c r="C470" s="2" t="s">
        <v>161</v>
      </c>
      <c r="D470" s="2" t="s">
        <v>20</v>
      </c>
      <c r="E470" s="2" t="s">
        <v>130</v>
      </c>
      <c r="F470" s="2" t="s">
        <v>56</v>
      </c>
      <c r="G470" s="2" t="s">
        <v>66</v>
      </c>
      <c r="H470" s="2" t="s">
        <v>98</v>
      </c>
      <c r="I470" s="2" t="s">
        <v>50</v>
      </c>
      <c r="J470" s="2" t="s">
        <v>142</v>
      </c>
      <c r="K470" s="2">
        <v>9</v>
      </c>
      <c r="L470" s="2">
        <v>15000</v>
      </c>
      <c r="M470" s="2">
        <v>0</v>
      </c>
      <c r="N470" s="2">
        <v>135000</v>
      </c>
      <c r="O470" s="2">
        <v>17511.73</v>
      </c>
      <c r="P470" s="2" t="s">
        <v>27</v>
      </c>
      <c r="Q470" s="2" t="s">
        <v>82</v>
      </c>
    </row>
    <row r="471" spans="1:17" x14ac:dyDescent="0.35">
      <c r="A471" s="3" t="s">
        <v>923</v>
      </c>
      <c r="B471" s="3" t="s">
        <v>437</v>
      </c>
      <c r="C471" s="3" t="s">
        <v>256</v>
      </c>
      <c r="D471" s="3" t="s">
        <v>20</v>
      </c>
      <c r="E471" s="3" t="s">
        <v>190</v>
      </c>
      <c r="F471" s="3" t="s">
        <v>22</v>
      </c>
      <c r="G471" s="3" t="s">
        <v>48</v>
      </c>
      <c r="H471" s="3" t="s">
        <v>109</v>
      </c>
      <c r="I471" s="3" t="s">
        <v>25</v>
      </c>
      <c r="J471" s="3" t="s">
        <v>26</v>
      </c>
      <c r="K471" s="3">
        <v>4</v>
      </c>
      <c r="L471" s="3">
        <v>5500</v>
      </c>
      <c r="M471" s="3">
        <v>0</v>
      </c>
      <c r="N471" s="3">
        <v>22000</v>
      </c>
      <c r="O471" s="3">
        <v>2541.38</v>
      </c>
      <c r="P471" s="3" t="s">
        <v>37</v>
      </c>
      <c r="Q471" s="3" t="s">
        <v>28</v>
      </c>
    </row>
    <row r="472" spans="1:17" x14ac:dyDescent="0.35">
      <c r="A472" s="2" t="s">
        <v>924</v>
      </c>
      <c r="B472" s="2" t="s">
        <v>925</v>
      </c>
      <c r="C472" s="2" t="s">
        <v>31</v>
      </c>
      <c r="D472" s="2" t="s">
        <v>20</v>
      </c>
      <c r="E472" s="2" t="s">
        <v>503</v>
      </c>
      <c r="F472" s="2" t="s">
        <v>22</v>
      </c>
      <c r="G472" s="2" t="s">
        <v>66</v>
      </c>
      <c r="H472" s="2" t="s">
        <v>67</v>
      </c>
      <c r="I472" s="2" t="s">
        <v>50</v>
      </c>
      <c r="J472" s="2" t="s">
        <v>198</v>
      </c>
      <c r="K472" s="2">
        <v>2</v>
      </c>
      <c r="L472" s="2">
        <v>2500</v>
      </c>
      <c r="M472" s="2">
        <v>15</v>
      </c>
      <c r="N472" s="2">
        <v>4250</v>
      </c>
      <c r="O472" s="2">
        <v>493.86</v>
      </c>
      <c r="P472" s="2" t="s">
        <v>37</v>
      </c>
      <c r="Q472" s="2" t="s">
        <v>28</v>
      </c>
    </row>
    <row r="473" spans="1:17" x14ac:dyDescent="0.35">
      <c r="A473" s="3" t="s">
        <v>926</v>
      </c>
      <c r="B473" s="3" t="s">
        <v>269</v>
      </c>
      <c r="C473" s="3" t="s">
        <v>46</v>
      </c>
      <c r="D473" s="3" t="s">
        <v>20</v>
      </c>
      <c r="E473" s="3" t="s">
        <v>130</v>
      </c>
      <c r="F473" s="3" t="s">
        <v>56</v>
      </c>
      <c r="G473" s="3" t="s">
        <v>73</v>
      </c>
      <c r="H473" s="3" t="s">
        <v>211</v>
      </c>
      <c r="I473" s="3" t="s">
        <v>42</v>
      </c>
      <c r="J473" s="3" t="s">
        <v>149</v>
      </c>
      <c r="K473" s="3">
        <v>3</v>
      </c>
      <c r="L473" s="3">
        <v>180</v>
      </c>
      <c r="M473" s="3">
        <v>5</v>
      </c>
      <c r="N473" s="3">
        <v>513</v>
      </c>
      <c r="O473" s="3">
        <v>72.38</v>
      </c>
      <c r="P473" s="3" t="s">
        <v>27</v>
      </c>
      <c r="Q473" s="3" t="s">
        <v>28</v>
      </c>
    </row>
    <row r="474" spans="1:17" x14ac:dyDescent="0.35">
      <c r="A474" s="2" t="s">
        <v>927</v>
      </c>
      <c r="B474" s="2" t="s">
        <v>64</v>
      </c>
      <c r="C474" s="2" t="s">
        <v>40</v>
      </c>
      <c r="D474" s="2" t="s">
        <v>20</v>
      </c>
      <c r="E474" s="2" t="s">
        <v>21</v>
      </c>
      <c r="F474" s="2" t="s">
        <v>33</v>
      </c>
      <c r="G474" s="2" t="s">
        <v>66</v>
      </c>
      <c r="H474" s="2" t="s">
        <v>67</v>
      </c>
      <c r="I474" s="2" t="s">
        <v>50</v>
      </c>
      <c r="J474" s="2" t="s">
        <v>75</v>
      </c>
      <c r="K474" s="2">
        <v>8</v>
      </c>
      <c r="L474" s="2">
        <v>45000</v>
      </c>
      <c r="M474" s="2">
        <v>20</v>
      </c>
      <c r="N474" s="2">
        <v>288000</v>
      </c>
      <c r="O474" s="2">
        <v>61137.96</v>
      </c>
      <c r="P474" s="2" t="s">
        <v>37</v>
      </c>
      <c r="Q474" s="2" t="s">
        <v>28</v>
      </c>
    </row>
    <row r="475" spans="1:17" x14ac:dyDescent="0.35">
      <c r="A475" s="3" t="s">
        <v>928</v>
      </c>
      <c r="B475" s="3" t="s">
        <v>252</v>
      </c>
      <c r="C475" s="3" t="s">
        <v>71</v>
      </c>
      <c r="D475" s="3" t="s">
        <v>20</v>
      </c>
      <c r="E475" s="3" t="s">
        <v>229</v>
      </c>
      <c r="F475" s="3" t="s">
        <v>22</v>
      </c>
      <c r="G475" s="3" t="s">
        <v>23</v>
      </c>
      <c r="H475" s="3" t="s">
        <v>131</v>
      </c>
      <c r="I475" s="3" t="s">
        <v>25</v>
      </c>
      <c r="J475" s="3" t="s">
        <v>237</v>
      </c>
      <c r="K475" s="3">
        <v>10</v>
      </c>
      <c r="L475" s="3">
        <v>22000</v>
      </c>
      <c r="M475" s="3">
        <v>20</v>
      </c>
      <c r="N475" s="3">
        <v>176000</v>
      </c>
      <c r="O475" s="3">
        <v>42297.65</v>
      </c>
      <c r="P475" s="3" t="s">
        <v>27</v>
      </c>
      <c r="Q475" s="3" t="s">
        <v>28</v>
      </c>
    </row>
    <row r="476" spans="1:17" x14ac:dyDescent="0.35">
      <c r="A476" s="2" t="s">
        <v>929</v>
      </c>
      <c r="B476" s="2" t="s">
        <v>868</v>
      </c>
      <c r="C476" s="2" t="s">
        <v>71</v>
      </c>
      <c r="D476" s="2" t="s">
        <v>20</v>
      </c>
      <c r="E476" s="2" t="s">
        <v>47</v>
      </c>
      <c r="F476" s="2" t="s">
        <v>33</v>
      </c>
      <c r="G476" s="2" t="s">
        <v>23</v>
      </c>
      <c r="H476" s="2" t="s">
        <v>34</v>
      </c>
      <c r="I476" s="2" t="s">
        <v>80</v>
      </c>
      <c r="J476" s="2" t="s">
        <v>81</v>
      </c>
      <c r="K476" s="2">
        <v>7</v>
      </c>
      <c r="L476" s="2">
        <v>950</v>
      </c>
      <c r="M476" s="2">
        <v>0</v>
      </c>
      <c r="N476" s="2">
        <v>6650</v>
      </c>
      <c r="O476" s="2">
        <v>1533.35</v>
      </c>
      <c r="P476" s="2" t="s">
        <v>27</v>
      </c>
      <c r="Q476" s="2" t="s">
        <v>28</v>
      </c>
    </row>
    <row r="477" spans="1:17" x14ac:dyDescent="0.35">
      <c r="A477" s="3" t="s">
        <v>930</v>
      </c>
      <c r="B477" s="3" t="s">
        <v>255</v>
      </c>
      <c r="C477" s="3" t="s">
        <v>256</v>
      </c>
      <c r="D477" s="3" t="s">
        <v>20</v>
      </c>
      <c r="E477" s="3" t="s">
        <v>390</v>
      </c>
      <c r="F477" s="3" t="s">
        <v>56</v>
      </c>
      <c r="G477" s="3" t="s">
        <v>48</v>
      </c>
      <c r="H477" s="3" t="s">
        <v>49</v>
      </c>
      <c r="I477" s="3" t="s">
        <v>42</v>
      </c>
      <c r="J477" s="3" t="s">
        <v>149</v>
      </c>
      <c r="K477" s="3">
        <v>7</v>
      </c>
      <c r="L477" s="3">
        <v>180</v>
      </c>
      <c r="M477" s="3">
        <v>10</v>
      </c>
      <c r="N477" s="3">
        <v>1134</v>
      </c>
      <c r="O477" s="3">
        <v>278.45</v>
      </c>
      <c r="P477" s="3" t="s">
        <v>27</v>
      </c>
      <c r="Q477" s="3" t="s">
        <v>28</v>
      </c>
    </row>
    <row r="478" spans="1:17" x14ac:dyDescent="0.35">
      <c r="A478" s="2" t="s">
        <v>931</v>
      </c>
      <c r="B478" s="2" t="s">
        <v>435</v>
      </c>
      <c r="C478" s="2" t="s">
        <v>117</v>
      </c>
      <c r="D478" s="2" t="s">
        <v>20</v>
      </c>
      <c r="E478" s="2" t="s">
        <v>72</v>
      </c>
      <c r="F478" s="2" t="s">
        <v>33</v>
      </c>
      <c r="G478" s="2" t="s">
        <v>23</v>
      </c>
      <c r="H478" s="2" t="s">
        <v>34</v>
      </c>
      <c r="I478" s="2" t="s">
        <v>80</v>
      </c>
      <c r="J478" s="2" t="s">
        <v>81</v>
      </c>
      <c r="K478" s="2">
        <v>3</v>
      </c>
      <c r="L478" s="2">
        <v>950</v>
      </c>
      <c r="M478" s="2">
        <v>15</v>
      </c>
      <c r="N478" s="2">
        <v>2422.5</v>
      </c>
      <c r="O478" s="2">
        <v>464.3</v>
      </c>
      <c r="P478" s="2" t="s">
        <v>27</v>
      </c>
      <c r="Q478" s="2" t="s">
        <v>28</v>
      </c>
    </row>
    <row r="479" spans="1:17" x14ac:dyDescent="0.35">
      <c r="A479" s="3" t="s">
        <v>932</v>
      </c>
      <c r="B479" s="3" t="s">
        <v>186</v>
      </c>
      <c r="C479" s="3" t="s">
        <v>161</v>
      </c>
      <c r="D479" s="3" t="s">
        <v>20</v>
      </c>
      <c r="E479" s="3" t="s">
        <v>388</v>
      </c>
      <c r="F479" s="3" t="s">
        <v>33</v>
      </c>
      <c r="G479" s="3" t="s">
        <v>66</v>
      </c>
      <c r="H479" s="3" t="s">
        <v>86</v>
      </c>
      <c r="I479" s="3" t="s">
        <v>50</v>
      </c>
      <c r="J479" s="3" t="s">
        <v>198</v>
      </c>
      <c r="K479" s="3">
        <v>6</v>
      </c>
      <c r="L479" s="3">
        <v>2500</v>
      </c>
      <c r="M479" s="3">
        <v>5</v>
      </c>
      <c r="N479" s="3">
        <v>14250</v>
      </c>
      <c r="O479" s="3">
        <v>3903.95</v>
      </c>
      <c r="P479" s="3" t="s">
        <v>27</v>
      </c>
      <c r="Q479" s="3" t="s">
        <v>28</v>
      </c>
    </row>
    <row r="480" spans="1:17" x14ac:dyDescent="0.35">
      <c r="A480" s="2" t="s">
        <v>933</v>
      </c>
      <c r="B480" s="2" t="s">
        <v>45</v>
      </c>
      <c r="C480" s="2" t="s">
        <v>46</v>
      </c>
      <c r="D480" s="2" t="s">
        <v>20</v>
      </c>
      <c r="E480" s="2" t="s">
        <v>101</v>
      </c>
      <c r="F480" s="2" t="s">
        <v>33</v>
      </c>
      <c r="G480" s="2" t="s">
        <v>48</v>
      </c>
      <c r="H480" s="2" t="s">
        <v>169</v>
      </c>
      <c r="I480" s="2" t="s">
        <v>80</v>
      </c>
      <c r="J480" s="2" t="s">
        <v>110</v>
      </c>
      <c r="K480" s="2">
        <v>9</v>
      </c>
      <c r="L480" s="2">
        <v>1200</v>
      </c>
      <c r="M480" s="2">
        <v>20</v>
      </c>
      <c r="N480" s="2">
        <v>8640</v>
      </c>
      <c r="O480" s="2">
        <v>2906.79</v>
      </c>
      <c r="P480" s="2" t="s">
        <v>37</v>
      </c>
      <c r="Q480" s="2" t="s">
        <v>28</v>
      </c>
    </row>
    <row r="481" spans="1:17" x14ac:dyDescent="0.35">
      <c r="A481" s="3" t="s">
        <v>934</v>
      </c>
      <c r="B481" s="3" t="s">
        <v>375</v>
      </c>
      <c r="C481" s="3" t="s">
        <v>40</v>
      </c>
      <c r="D481" s="3" t="s">
        <v>20</v>
      </c>
      <c r="E481" s="3" t="s">
        <v>267</v>
      </c>
      <c r="F481" s="3" t="s">
        <v>56</v>
      </c>
      <c r="G481" s="3" t="s">
        <v>48</v>
      </c>
      <c r="H481" s="3" t="s">
        <v>57</v>
      </c>
      <c r="I481" s="3" t="s">
        <v>35</v>
      </c>
      <c r="J481" s="3" t="s">
        <v>126</v>
      </c>
      <c r="K481" s="3">
        <v>3</v>
      </c>
      <c r="L481" s="3">
        <v>1299</v>
      </c>
      <c r="M481" s="3">
        <v>0</v>
      </c>
      <c r="N481" s="3">
        <v>3897</v>
      </c>
      <c r="O481" s="3">
        <v>753.24</v>
      </c>
      <c r="P481" s="3" t="s">
        <v>37</v>
      </c>
      <c r="Q481" s="3" t="s">
        <v>28</v>
      </c>
    </row>
    <row r="482" spans="1:17" x14ac:dyDescent="0.35">
      <c r="A482" s="2" t="s">
        <v>935</v>
      </c>
      <c r="B482" s="2" t="s">
        <v>70</v>
      </c>
      <c r="C482" s="2" t="s">
        <v>71</v>
      </c>
      <c r="D482" s="2" t="s">
        <v>20</v>
      </c>
      <c r="E482" s="2" t="s">
        <v>523</v>
      </c>
      <c r="F482" s="2" t="s">
        <v>22</v>
      </c>
      <c r="G482" s="2" t="s">
        <v>66</v>
      </c>
      <c r="H482" s="2" t="s">
        <v>67</v>
      </c>
      <c r="I482" s="2" t="s">
        <v>50</v>
      </c>
      <c r="J482" s="2" t="s">
        <v>142</v>
      </c>
      <c r="K482" s="2">
        <v>5</v>
      </c>
      <c r="L482" s="2">
        <v>15000</v>
      </c>
      <c r="M482" s="2">
        <v>0</v>
      </c>
      <c r="N482" s="2">
        <v>75000</v>
      </c>
      <c r="O482" s="2">
        <v>15287.51</v>
      </c>
      <c r="P482" s="2" t="s">
        <v>27</v>
      </c>
      <c r="Q482" s="2" t="s">
        <v>28</v>
      </c>
    </row>
    <row r="483" spans="1:17" x14ac:dyDescent="0.35">
      <c r="A483" s="3" t="s">
        <v>936</v>
      </c>
      <c r="B483" s="3" t="s">
        <v>937</v>
      </c>
      <c r="C483" s="3" t="s">
        <v>134</v>
      </c>
      <c r="D483" s="3" t="s">
        <v>20</v>
      </c>
      <c r="E483" s="3" t="s">
        <v>267</v>
      </c>
      <c r="F483" s="3" t="s">
        <v>22</v>
      </c>
      <c r="G483" s="3" t="s">
        <v>73</v>
      </c>
      <c r="H483" s="3" t="s">
        <v>211</v>
      </c>
      <c r="I483" s="3" t="s">
        <v>42</v>
      </c>
      <c r="J483" s="3" t="s">
        <v>68</v>
      </c>
      <c r="K483" s="3">
        <v>2</v>
      </c>
      <c r="L483" s="3">
        <v>150</v>
      </c>
      <c r="M483" s="3">
        <v>20</v>
      </c>
      <c r="N483" s="3">
        <v>240</v>
      </c>
      <c r="O483" s="3">
        <v>58.09</v>
      </c>
      <c r="P483" s="3" t="s">
        <v>37</v>
      </c>
      <c r="Q483" s="3" t="s">
        <v>28</v>
      </c>
    </row>
    <row r="484" spans="1:17" x14ac:dyDescent="0.35">
      <c r="A484" s="2" t="s">
        <v>938</v>
      </c>
      <c r="B484" s="2" t="s">
        <v>549</v>
      </c>
      <c r="C484" s="2" t="s">
        <v>256</v>
      </c>
      <c r="D484" s="2" t="s">
        <v>20</v>
      </c>
      <c r="E484" s="2" t="s">
        <v>354</v>
      </c>
      <c r="F484" s="2" t="s">
        <v>56</v>
      </c>
      <c r="G484" s="2" t="s">
        <v>66</v>
      </c>
      <c r="H484" s="2" t="s">
        <v>114</v>
      </c>
      <c r="I484" s="2" t="s">
        <v>35</v>
      </c>
      <c r="J484" s="2" t="s">
        <v>126</v>
      </c>
      <c r="K484" s="2">
        <v>1</v>
      </c>
      <c r="L484" s="2">
        <v>1299</v>
      </c>
      <c r="M484" s="2">
        <v>10</v>
      </c>
      <c r="N484" s="2">
        <v>1169.0999999999999</v>
      </c>
      <c r="O484" s="2">
        <v>105.12</v>
      </c>
      <c r="P484" s="2" t="s">
        <v>37</v>
      </c>
      <c r="Q484" s="2" t="s">
        <v>28</v>
      </c>
    </row>
    <row r="485" spans="1:17" x14ac:dyDescent="0.35">
      <c r="A485" s="3" t="s">
        <v>939</v>
      </c>
      <c r="B485" s="3" t="s">
        <v>329</v>
      </c>
      <c r="C485" s="3" t="s">
        <v>78</v>
      </c>
      <c r="D485" s="3" t="s">
        <v>20</v>
      </c>
      <c r="E485" s="3" t="s">
        <v>168</v>
      </c>
      <c r="F485" s="3" t="s">
        <v>56</v>
      </c>
      <c r="G485" s="3" t="s">
        <v>73</v>
      </c>
      <c r="H485" s="3" t="s">
        <v>105</v>
      </c>
      <c r="I485" s="3" t="s">
        <v>35</v>
      </c>
      <c r="J485" s="3" t="s">
        <v>138</v>
      </c>
      <c r="K485" s="3">
        <v>10</v>
      </c>
      <c r="L485" s="3">
        <v>799</v>
      </c>
      <c r="M485" s="3">
        <v>20</v>
      </c>
      <c r="N485" s="3">
        <v>6392</v>
      </c>
      <c r="O485" s="3">
        <v>1499.03</v>
      </c>
      <c r="P485" s="3" t="s">
        <v>27</v>
      </c>
      <c r="Q485" s="3" t="s">
        <v>28</v>
      </c>
    </row>
    <row r="486" spans="1:17" x14ac:dyDescent="0.35">
      <c r="A486" s="2" t="s">
        <v>940</v>
      </c>
      <c r="B486" s="2" t="s">
        <v>347</v>
      </c>
      <c r="C486" s="2" t="s">
        <v>117</v>
      </c>
      <c r="D486" s="2" t="s">
        <v>20</v>
      </c>
      <c r="E486" s="2" t="s">
        <v>244</v>
      </c>
      <c r="F486" s="2" t="s">
        <v>56</v>
      </c>
      <c r="G486" s="2" t="s">
        <v>23</v>
      </c>
      <c r="H486" s="2" t="s">
        <v>24</v>
      </c>
      <c r="I486" s="2" t="s">
        <v>25</v>
      </c>
      <c r="J486" s="2" t="s">
        <v>62</v>
      </c>
      <c r="K486" s="2">
        <v>6</v>
      </c>
      <c r="L486" s="2">
        <v>3200</v>
      </c>
      <c r="M486" s="2">
        <v>15</v>
      </c>
      <c r="N486" s="2">
        <v>16320</v>
      </c>
      <c r="O486" s="2">
        <v>4920.01</v>
      </c>
      <c r="P486" s="2" t="s">
        <v>27</v>
      </c>
      <c r="Q486" s="2" t="s">
        <v>28</v>
      </c>
    </row>
    <row r="487" spans="1:17" x14ac:dyDescent="0.35">
      <c r="A487" s="3" t="s">
        <v>941</v>
      </c>
      <c r="B487" s="3" t="s">
        <v>473</v>
      </c>
      <c r="C487" s="3" t="s">
        <v>31</v>
      </c>
      <c r="D487" s="3" t="s">
        <v>20</v>
      </c>
      <c r="E487" s="3" t="s">
        <v>416</v>
      </c>
      <c r="F487" s="3" t="s">
        <v>33</v>
      </c>
      <c r="G487" s="3" t="s">
        <v>48</v>
      </c>
      <c r="H487" s="3" t="s">
        <v>49</v>
      </c>
      <c r="I487" s="3" t="s">
        <v>80</v>
      </c>
      <c r="J487" s="3" t="s">
        <v>110</v>
      </c>
      <c r="K487" s="3">
        <v>9</v>
      </c>
      <c r="L487" s="3">
        <v>1200</v>
      </c>
      <c r="M487" s="3">
        <v>5</v>
      </c>
      <c r="N487" s="3">
        <v>10260</v>
      </c>
      <c r="O487" s="3">
        <v>2748.39</v>
      </c>
      <c r="P487" s="3" t="s">
        <v>27</v>
      </c>
      <c r="Q487" s="3" t="s">
        <v>28</v>
      </c>
    </row>
    <row r="488" spans="1:17" x14ac:dyDescent="0.35">
      <c r="A488" s="2" t="s">
        <v>942</v>
      </c>
      <c r="B488" s="2" t="s">
        <v>707</v>
      </c>
      <c r="C488" s="2" t="s">
        <v>134</v>
      </c>
      <c r="D488" s="2" t="s">
        <v>20</v>
      </c>
      <c r="E488" s="2" t="s">
        <v>499</v>
      </c>
      <c r="F488" s="2" t="s">
        <v>33</v>
      </c>
      <c r="G488" s="2" t="s">
        <v>23</v>
      </c>
      <c r="H488" s="2" t="s">
        <v>131</v>
      </c>
      <c r="I488" s="2" t="s">
        <v>80</v>
      </c>
      <c r="J488" s="2" t="s">
        <v>240</v>
      </c>
      <c r="K488" s="2">
        <v>7</v>
      </c>
      <c r="L488" s="2">
        <v>600</v>
      </c>
      <c r="M488" s="2">
        <v>20</v>
      </c>
      <c r="N488" s="2">
        <v>3360</v>
      </c>
      <c r="O488" s="2">
        <v>1037.92</v>
      </c>
      <c r="P488" s="2" t="s">
        <v>37</v>
      </c>
      <c r="Q488" s="2" t="s">
        <v>28</v>
      </c>
    </row>
    <row r="489" spans="1:17" x14ac:dyDescent="0.35">
      <c r="A489" s="3" t="s">
        <v>943</v>
      </c>
      <c r="B489" s="3" t="s">
        <v>283</v>
      </c>
      <c r="C489" s="3" t="s">
        <v>256</v>
      </c>
      <c r="D489" s="3" t="s">
        <v>20</v>
      </c>
      <c r="E489" s="3" t="s">
        <v>460</v>
      </c>
      <c r="F489" s="3" t="s">
        <v>33</v>
      </c>
      <c r="G489" s="3" t="s">
        <v>73</v>
      </c>
      <c r="H489" s="3" t="s">
        <v>211</v>
      </c>
      <c r="I489" s="3" t="s">
        <v>35</v>
      </c>
      <c r="J489" s="3" t="s">
        <v>36</v>
      </c>
      <c r="K489" s="3">
        <v>4</v>
      </c>
      <c r="L489" s="3">
        <v>1999</v>
      </c>
      <c r="M489" s="3">
        <v>10</v>
      </c>
      <c r="N489" s="3">
        <v>7196.4</v>
      </c>
      <c r="O489" s="3">
        <v>2478.44</v>
      </c>
      <c r="P489" s="3" t="s">
        <v>27</v>
      </c>
      <c r="Q489" s="3" t="s">
        <v>28</v>
      </c>
    </row>
    <row r="490" spans="1:17" x14ac:dyDescent="0.35">
      <c r="A490" s="2" t="s">
        <v>944</v>
      </c>
      <c r="B490" s="2" t="s">
        <v>167</v>
      </c>
      <c r="C490" s="2" t="s">
        <v>78</v>
      </c>
      <c r="D490" s="2" t="s">
        <v>20</v>
      </c>
      <c r="E490" s="2" t="s">
        <v>61</v>
      </c>
      <c r="F490" s="2" t="s">
        <v>33</v>
      </c>
      <c r="G490" s="2" t="s">
        <v>23</v>
      </c>
      <c r="H490" s="2" t="s">
        <v>34</v>
      </c>
      <c r="I490" s="2" t="s">
        <v>80</v>
      </c>
      <c r="J490" s="2" t="s">
        <v>110</v>
      </c>
      <c r="K490" s="2">
        <v>7</v>
      </c>
      <c r="L490" s="2">
        <v>1200</v>
      </c>
      <c r="M490" s="2">
        <v>0</v>
      </c>
      <c r="N490" s="2">
        <v>8400</v>
      </c>
      <c r="O490" s="2">
        <v>1429.04</v>
      </c>
      <c r="P490" s="2" t="s">
        <v>27</v>
      </c>
      <c r="Q490" s="2" t="s">
        <v>28</v>
      </c>
    </row>
    <row r="491" spans="1:17" x14ac:dyDescent="0.35">
      <c r="A491" s="3" t="s">
        <v>945</v>
      </c>
      <c r="B491" s="3" t="s">
        <v>946</v>
      </c>
      <c r="C491" s="3" t="s">
        <v>256</v>
      </c>
      <c r="D491" s="3" t="s">
        <v>20</v>
      </c>
      <c r="E491" s="3" t="s">
        <v>376</v>
      </c>
      <c r="F491" s="3" t="s">
        <v>22</v>
      </c>
      <c r="G491" s="3" t="s">
        <v>48</v>
      </c>
      <c r="H491" s="3" t="s">
        <v>49</v>
      </c>
      <c r="I491" s="3" t="s">
        <v>50</v>
      </c>
      <c r="J491" s="3" t="s">
        <v>198</v>
      </c>
      <c r="K491" s="3">
        <v>5</v>
      </c>
      <c r="L491" s="3">
        <v>2500</v>
      </c>
      <c r="M491" s="3">
        <v>20</v>
      </c>
      <c r="N491" s="3">
        <v>10000</v>
      </c>
      <c r="O491" s="3">
        <v>2284.98</v>
      </c>
      <c r="P491" s="3" t="s">
        <v>27</v>
      </c>
      <c r="Q491" s="3" t="s">
        <v>28</v>
      </c>
    </row>
    <row r="492" spans="1:17" x14ac:dyDescent="0.35">
      <c r="A492" s="2" t="s">
        <v>947</v>
      </c>
      <c r="B492" s="2" t="s">
        <v>305</v>
      </c>
      <c r="C492" s="2" t="s">
        <v>256</v>
      </c>
      <c r="D492" s="2" t="s">
        <v>20</v>
      </c>
      <c r="E492" s="2" t="s">
        <v>214</v>
      </c>
      <c r="F492" s="2" t="s">
        <v>56</v>
      </c>
      <c r="G492" s="2" t="s">
        <v>23</v>
      </c>
      <c r="H492" s="2" t="s">
        <v>34</v>
      </c>
      <c r="I492" s="2" t="s">
        <v>35</v>
      </c>
      <c r="J492" s="2" t="s">
        <v>138</v>
      </c>
      <c r="K492" s="2">
        <v>6</v>
      </c>
      <c r="L492" s="2">
        <v>799</v>
      </c>
      <c r="M492" s="2">
        <v>15</v>
      </c>
      <c r="N492" s="2">
        <v>4074.9</v>
      </c>
      <c r="O492" s="2">
        <v>1333.98</v>
      </c>
      <c r="P492" s="2" t="s">
        <v>27</v>
      </c>
      <c r="Q492" s="2" t="s">
        <v>28</v>
      </c>
    </row>
    <row r="493" spans="1:17" x14ac:dyDescent="0.35">
      <c r="A493" s="3" t="s">
        <v>948</v>
      </c>
      <c r="B493" s="3" t="s">
        <v>822</v>
      </c>
      <c r="C493" s="3" t="s">
        <v>19</v>
      </c>
      <c r="D493" s="3" t="s">
        <v>20</v>
      </c>
      <c r="E493" s="3" t="s">
        <v>178</v>
      </c>
      <c r="F493" s="3" t="s">
        <v>22</v>
      </c>
      <c r="G493" s="3" t="s">
        <v>48</v>
      </c>
      <c r="H493" s="3" t="s">
        <v>109</v>
      </c>
      <c r="I493" s="3" t="s">
        <v>42</v>
      </c>
      <c r="J493" s="3" t="s">
        <v>187</v>
      </c>
      <c r="K493" s="3">
        <v>9</v>
      </c>
      <c r="L493" s="3">
        <v>350</v>
      </c>
      <c r="M493" s="3">
        <v>10</v>
      </c>
      <c r="N493" s="3">
        <v>2835</v>
      </c>
      <c r="O493" s="3">
        <v>659.24</v>
      </c>
      <c r="P493" s="3" t="s">
        <v>37</v>
      </c>
      <c r="Q493" s="3" t="s">
        <v>28</v>
      </c>
    </row>
    <row r="494" spans="1:17" x14ac:dyDescent="0.35">
      <c r="A494" s="2" t="s">
        <v>949</v>
      </c>
      <c r="B494" s="2" t="s">
        <v>525</v>
      </c>
      <c r="C494" s="2" t="s">
        <v>46</v>
      </c>
      <c r="D494" s="2" t="s">
        <v>20</v>
      </c>
      <c r="E494" s="2" t="s">
        <v>385</v>
      </c>
      <c r="F494" s="2" t="s">
        <v>22</v>
      </c>
      <c r="G494" s="2" t="s">
        <v>48</v>
      </c>
      <c r="H494" s="2" t="s">
        <v>49</v>
      </c>
      <c r="I494" s="2" t="s">
        <v>50</v>
      </c>
      <c r="J494" s="2" t="s">
        <v>75</v>
      </c>
      <c r="K494" s="2">
        <v>5</v>
      </c>
      <c r="L494" s="2">
        <v>45000</v>
      </c>
      <c r="M494" s="2">
        <v>0</v>
      </c>
      <c r="N494" s="2">
        <v>225000</v>
      </c>
      <c r="O494" s="2">
        <v>38603.51</v>
      </c>
      <c r="P494" s="2" t="s">
        <v>27</v>
      </c>
      <c r="Q494" s="2" t="s">
        <v>28</v>
      </c>
    </row>
    <row r="495" spans="1:17" x14ac:dyDescent="0.35">
      <c r="A495" s="3" t="s">
        <v>950</v>
      </c>
      <c r="B495" s="3" t="s">
        <v>445</v>
      </c>
      <c r="C495" s="3" t="s">
        <v>134</v>
      </c>
      <c r="D495" s="3" t="s">
        <v>20</v>
      </c>
      <c r="E495" s="3" t="s">
        <v>455</v>
      </c>
      <c r="F495" s="3" t="s">
        <v>56</v>
      </c>
      <c r="G495" s="3" t="s">
        <v>23</v>
      </c>
      <c r="H495" s="3" t="s">
        <v>194</v>
      </c>
      <c r="I495" s="3" t="s">
        <v>25</v>
      </c>
      <c r="J495" s="3" t="s">
        <v>257</v>
      </c>
      <c r="K495" s="3">
        <v>5</v>
      </c>
      <c r="L495" s="3">
        <v>8500</v>
      </c>
      <c r="M495" s="3">
        <v>15</v>
      </c>
      <c r="N495" s="3">
        <v>36125</v>
      </c>
      <c r="O495" s="3">
        <v>3736.6</v>
      </c>
      <c r="P495" s="3" t="s">
        <v>37</v>
      </c>
      <c r="Q495" s="3" t="s">
        <v>28</v>
      </c>
    </row>
    <row r="496" spans="1:17" x14ac:dyDescent="0.35">
      <c r="A496" s="2" t="s">
        <v>951</v>
      </c>
      <c r="B496" s="2" t="s">
        <v>656</v>
      </c>
      <c r="C496" s="2" t="s">
        <v>117</v>
      </c>
      <c r="D496" s="2" t="s">
        <v>20</v>
      </c>
      <c r="E496" s="2" t="s">
        <v>92</v>
      </c>
      <c r="F496" s="2" t="s">
        <v>56</v>
      </c>
      <c r="G496" s="2" t="s">
        <v>48</v>
      </c>
      <c r="H496" s="2" t="s">
        <v>57</v>
      </c>
      <c r="I496" s="2" t="s">
        <v>50</v>
      </c>
      <c r="J496" s="2" t="s">
        <v>198</v>
      </c>
      <c r="K496" s="2">
        <v>1</v>
      </c>
      <c r="L496" s="2">
        <v>2500</v>
      </c>
      <c r="M496" s="2">
        <v>5</v>
      </c>
      <c r="N496" s="2">
        <v>2375</v>
      </c>
      <c r="O496" s="2">
        <v>775.69</v>
      </c>
      <c r="P496" s="2" t="s">
        <v>27</v>
      </c>
      <c r="Q496" s="2" t="s">
        <v>28</v>
      </c>
    </row>
    <row r="497" spans="1:17" x14ac:dyDescent="0.35">
      <c r="A497" s="3" t="s">
        <v>952</v>
      </c>
      <c r="B497" s="3" t="s">
        <v>953</v>
      </c>
      <c r="C497" s="3" t="s">
        <v>129</v>
      </c>
      <c r="D497" s="3" t="s">
        <v>20</v>
      </c>
      <c r="E497" s="3" t="s">
        <v>250</v>
      </c>
      <c r="F497" s="3" t="s">
        <v>33</v>
      </c>
      <c r="G497" s="3" t="s">
        <v>48</v>
      </c>
      <c r="H497" s="3" t="s">
        <v>109</v>
      </c>
      <c r="I497" s="3" t="s">
        <v>80</v>
      </c>
      <c r="J497" s="3" t="s">
        <v>240</v>
      </c>
      <c r="K497" s="3">
        <v>6</v>
      </c>
      <c r="L497" s="3">
        <v>600</v>
      </c>
      <c r="M497" s="3">
        <v>5</v>
      </c>
      <c r="N497" s="3">
        <v>3420</v>
      </c>
      <c r="O497" s="3">
        <v>984.14</v>
      </c>
      <c r="P497" s="3" t="s">
        <v>27</v>
      </c>
      <c r="Q497" s="3" t="s">
        <v>28</v>
      </c>
    </row>
    <row r="498" spans="1:17" x14ac:dyDescent="0.35">
      <c r="A498" s="2" t="s">
        <v>954</v>
      </c>
      <c r="B498" s="2" t="s">
        <v>171</v>
      </c>
      <c r="C498" s="2" t="s">
        <v>40</v>
      </c>
      <c r="D498" s="2" t="s">
        <v>20</v>
      </c>
      <c r="E498" s="2" t="s">
        <v>229</v>
      </c>
      <c r="F498" s="2" t="s">
        <v>33</v>
      </c>
      <c r="G498" s="2" t="s">
        <v>73</v>
      </c>
      <c r="H498" s="2" t="s">
        <v>93</v>
      </c>
      <c r="I498" s="2" t="s">
        <v>50</v>
      </c>
      <c r="J498" s="2" t="s">
        <v>198</v>
      </c>
      <c r="K498" s="2">
        <v>1</v>
      </c>
      <c r="L498" s="2">
        <v>2500</v>
      </c>
      <c r="M498" s="2">
        <v>20</v>
      </c>
      <c r="N498" s="2">
        <v>2000</v>
      </c>
      <c r="O498" s="2">
        <v>630.80999999999995</v>
      </c>
      <c r="P498" s="2" t="s">
        <v>37</v>
      </c>
      <c r="Q498" s="2" t="s">
        <v>28</v>
      </c>
    </row>
    <row r="499" spans="1:17" x14ac:dyDescent="0.35">
      <c r="A499" s="3" t="s">
        <v>955</v>
      </c>
      <c r="B499" s="3" t="s">
        <v>383</v>
      </c>
      <c r="C499" s="3" t="s">
        <v>134</v>
      </c>
      <c r="D499" s="3" t="s">
        <v>20</v>
      </c>
      <c r="E499" s="3" t="s">
        <v>137</v>
      </c>
      <c r="F499" s="3" t="s">
        <v>22</v>
      </c>
      <c r="G499" s="3" t="s">
        <v>48</v>
      </c>
      <c r="H499" s="3" t="s">
        <v>169</v>
      </c>
      <c r="I499" s="3" t="s">
        <v>80</v>
      </c>
      <c r="J499" s="3" t="s">
        <v>240</v>
      </c>
      <c r="K499" s="3">
        <v>4</v>
      </c>
      <c r="L499" s="3">
        <v>600</v>
      </c>
      <c r="M499" s="3">
        <v>10</v>
      </c>
      <c r="N499" s="3">
        <v>2160</v>
      </c>
      <c r="O499" s="3">
        <v>289.76</v>
      </c>
      <c r="P499" s="3" t="s">
        <v>37</v>
      </c>
      <c r="Q499" s="3" t="s">
        <v>28</v>
      </c>
    </row>
    <row r="500" spans="1:17" x14ac:dyDescent="0.35">
      <c r="A500" s="2" t="s">
        <v>956</v>
      </c>
      <c r="B500" s="2" t="s">
        <v>639</v>
      </c>
      <c r="C500" s="2" t="s">
        <v>31</v>
      </c>
      <c r="D500" s="2" t="s">
        <v>20</v>
      </c>
      <c r="E500" s="2" t="s">
        <v>662</v>
      </c>
      <c r="F500" s="2" t="s">
        <v>33</v>
      </c>
      <c r="G500" s="2" t="s">
        <v>23</v>
      </c>
      <c r="H500" s="2" t="s">
        <v>194</v>
      </c>
      <c r="I500" s="2" t="s">
        <v>35</v>
      </c>
      <c r="J500" s="2" t="s">
        <v>126</v>
      </c>
      <c r="K500" s="2">
        <v>5</v>
      </c>
      <c r="L500" s="2">
        <v>1299</v>
      </c>
      <c r="M500" s="2">
        <v>0</v>
      </c>
      <c r="N500" s="2">
        <v>6495</v>
      </c>
      <c r="O500" s="2">
        <v>546.35</v>
      </c>
      <c r="P500" s="2" t="s">
        <v>27</v>
      </c>
      <c r="Q500" s="2" t="s">
        <v>28</v>
      </c>
    </row>
    <row r="501" spans="1:17" x14ac:dyDescent="0.35">
      <c r="A501" s="3" t="s">
        <v>957</v>
      </c>
      <c r="B501" s="3" t="s">
        <v>958</v>
      </c>
      <c r="C501" s="3" t="s">
        <v>40</v>
      </c>
      <c r="D501" s="3" t="s">
        <v>20</v>
      </c>
      <c r="E501" s="3" t="s">
        <v>193</v>
      </c>
      <c r="F501" s="3" t="s">
        <v>22</v>
      </c>
      <c r="G501" s="3" t="s">
        <v>48</v>
      </c>
      <c r="H501" s="3" t="s">
        <v>49</v>
      </c>
      <c r="I501" s="3" t="s">
        <v>35</v>
      </c>
      <c r="J501" s="3" t="s">
        <v>138</v>
      </c>
      <c r="K501" s="3">
        <v>10</v>
      </c>
      <c r="L501" s="3">
        <v>799</v>
      </c>
      <c r="M501" s="3">
        <v>5</v>
      </c>
      <c r="N501" s="3">
        <v>7590.5</v>
      </c>
      <c r="O501" s="3">
        <v>958.26</v>
      </c>
      <c r="P501" s="3" t="s">
        <v>37</v>
      </c>
      <c r="Q501" s="3" t="s">
        <v>28</v>
      </c>
    </row>
  </sheetData>
  <autoFilter ref="A1:Q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F1FA-223D-40C3-8EF2-44F509E4123D}">
  <dimension ref="A1:P31"/>
  <sheetViews>
    <sheetView topLeftCell="C16" zoomScale="96" workbookViewId="0">
      <selection activeCell="I33" sqref="I33"/>
    </sheetView>
  </sheetViews>
  <sheetFormatPr defaultRowHeight="14.5" x14ac:dyDescent="0.35"/>
  <cols>
    <col min="1" max="1" width="14.36328125" bestFit="1" customWidth="1"/>
    <col min="2" max="2" width="14.7265625" bestFit="1" customWidth="1"/>
    <col min="4" max="4" width="12.36328125" bestFit="1" customWidth="1"/>
    <col min="5" max="5" width="18.90625" bestFit="1" customWidth="1"/>
    <col min="6" max="6" width="14.6328125" bestFit="1" customWidth="1"/>
    <col min="8" max="8" width="12.36328125" bestFit="1" customWidth="1"/>
    <col min="9" max="9" width="14.6328125" bestFit="1" customWidth="1"/>
    <col min="10" max="10" width="18.90625" bestFit="1" customWidth="1"/>
    <col min="11" max="11" width="14.6328125" bestFit="1" customWidth="1"/>
    <col min="12" max="12" width="12.36328125" bestFit="1" customWidth="1"/>
    <col min="13" max="13" width="13.6328125" bestFit="1" customWidth="1"/>
    <col min="14" max="14" width="19.1796875" bestFit="1" customWidth="1"/>
    <col min="15" max="15" width="15.81640625" bestFit="1" customWidth="1"/>
    <col min="16" max="16" width="14.90625" bestFit="1" customWidth="1"/>
  </cols>
  <sheetData>
    <row r="1" spans="1:16" ht="15" thickBot="1" x14ac:dyDescent="0.4">
      <c r="A1" s="4" t="s">
        <v>959</v>
      </c>
      <c r="L1" s="19" t="s">
        <v>16</v>
      </c>
      <c r="M1" t="s">
        <v>978</v>
      </c>
    </row>
    <row r="2" spans="1:16" x14ac:dyDescent="0.35">
      <c r="D2" s="34" t="s">
        <v>971</v>
      </c>
      <c r="E2" s="35"/>
      <c r="F2" s="36"/>
      <c r="H2" s="12" t="s">
        <v>970</v>
      </c>
      <c r="I2" s="13"/>
      <c r="J2" s="13"/>
      <c r="L2" s="31" t="s">
        <v>976</v>
      </c>
      <c r="M2" s="32"/>
      <c r="N2" s="32"/>
      <c r="O2" s="32"/>
      <c r="P2" s="33"/>
    </row>
    <row r="3" spans="1:16" x14ac:dyDescent="0.35">
      <c r="A3" s="14" t="s">
        <v>960</v>
      </c>
      <c r="B3" s="15">
        <f>SUM('Sales Data'!N:N)</f>
        <v>18687980.499999996</v>
      </c>
      <c r="D3" s="6" t="s">
        <v>965</v>
      </c>
      <c r="E3" t="s">
        <v>967</v>
      </c>
      <c r="F3" s="7" t="s">
        <v>968</v>
      </c>
      <c r="H3" s="6" t="s">
        <v>965</v>
      </c>
      <c r="I3" t="s">
        <v>968</v>
      </c>
      <c r="J3" s="7"/>
      <c r="L3" s="20" t="s">
        <v>965</v>
      </c>
      <c r="M3" t="s">
        <v>977</v>
      </c>
      <c r="P3" s="21"/>
    </row>
    <row r="4" spans="1:16" x14ac:dyDescent="0.35">
      <c r="A4" s="16" t="s">
        <v>961</v>
      </c>
      <c r="B4" s="17">
        <f>SUM('Sales Data'!O:O)</f>
        <v>3976224.129999998</v>
      </c>
      <c r="D4" s="8" t="s">
        <v>23</v>
      </c>
      <c r="E4">
        <v>3284584.15</v>
      </c>
      <c r="F4" s="7">
        <v>759908.7300000001</v>
      </c>
      <c r="H4" s="8" t="s">
        <v>42</v>
      </c>
      <c r="I4">
        <v>20477.059999999994</v>
      </c>
      <c r="J4" s="7"/>
      <c r="L4" s="22" t="s">
        <v>35</v>
      </c>
      <c r="M4">
        <v>107</v>
      </c>
      <c r="P4" s="21"/>
    </row>
    <row r="5" spans="1:16" x14ac:dyDescent="0.35">
      <c r="A5" s="16" t="s">
        <v>962</v>
      </c>
      <c r="B5" s="7">
        <f>COUNTA('Sales Data'!A:A)-1</f>
        <v>500</v>
      </c>
      <c r="D5" s="8" t="s">
        <v>66</v>
      </c>
      <c r="E5">
        <v>4503859.6499999994</v>
      </c>
      <c r="F5" s="7">
        <v>1008819.3199999996</v>
      </c>
      <c r="H5" s="8" t="s">
        <v>80</v>
      </c>
      <c r="I5">
        <v>91737.179999999978</v>
      </c>
      <c r="J5" s="7"/>
      <c r="L5" s="22" t="s">
        <v>50</v>
      </c>
      <c r="M5">
        <v>111</v>
      </c>
      <c r="P5" s="21"/>
    </row>
    <row r="6" spans="1:16" x14ac:dyDescent="0.35">
      <c r="A6" s="16" t="s">
        <v>963</v>
      </c>
      <c r="B6" s="7">
        <f>B3/B5</f>
        <v>37375.960999999996</v>
      </c>
      <c r="D6" s="8" t="s">
        <v>48</v>
      </c>
      <c r="E6">
        <v>4784300.2</v>
      </c>
      <c r="F6" s="7">
        <v>1049853.4599999997</v>
      </c>
      <c r="H6" s="8" t="s">
        <v>35</v>
      </c>
      <c r="I6">
        <v>165599.82000000004</v>
      </c>
      <c r="J6" s="7"/>
      <c r="L6" s="22" t="s">
        <v>25</v>
      </c>
      <c r="M6">
        <v>93</v>
      </c>
      <c r="P6" s="21"/>
    </row>
    <row r="7" spans="1:16" x14ac:dyDescent="0.35">
      <c r="A7" s="18" t="s">
        <v>964</v>
      </c>
      <c r="B7" s="11">
        <f>COUNTIF('Sales Data'!Q:Q,"Yes")/B5*100</f>
        <v>15.2</v>
      </c>
      <c r="D7" s="8" t="s">
        <v>73</v>
      </c>
      <c r="E7">
        <v>6115236.5000000009</v>
      </c>
      <c r="F7" s="7">
        <v>1157642.6200000001</v>
      </c>
      <c r="H7" s="8" t="s">
        <v>25</v>
      </c>
      <c r="I7">
        <v>979860.16999999981</v>
      </c>
      <c r="J7" s="7"/>
      <c r="L7" s="22" t="s">
        <v>42</v>
      </c>
      <c r="M7">
        <v>101</v>
      </c>
      <c r="P7" s="21"/>
    </row>
    <row r="8" spans="1:16" x14ac:dyDescent="0.35">
      <c r="D8" s="9" t="s">
        <v>966</v>
      </c>
      <c r="E8" s="10">
        <v>18687980.5</v>
      </c>
      <c r="F8" s="11">
        <v>3976224.13</v>
      </c>
      <c r="H8" s="8" t="s">
        <v>50</v>
      </c>
      <c r="I8">
        <v>2718549.899999999</v>
      </c>
      <c r="J8" s="7"/>
      <c r="L8" s="22" t="s">
        <v>80</v>
      </c>
      <c r="M8">
        <v>88</v>
      </c>
      <c r="P8" s="21"/>
    </row>
    <row r="9" spans="1:16" ht="15" thickBot="1" x14ac:dyDescent="0.4">
      <c r="D9" s="5"/>
      <c r="H9" s="9" t="s">
        <v>966</v>
      </c>
      <c r="I9" s="10">
        <v>3976224.129999999</v>
      </c>
      <c r="J9" s="11"/>
      <c r="L9" s="23" t="s">
        <v>966</v>
      </c>
      <c r="M9" s="24">
        <v>500</v>
      </c>
      <c r="N9" s="24"/>
      <c r="O9" s="24"/>
      <c r="P9" s="25"/>
    </row>
    <row r="10" spans="1:16" ht="14.5" customHeight="1" x14ac:dyDescent="0.35">
      <c r="A10" s="39" t="s">
        <v>969</v>
      </c>
      <c r="B10" s="39"/>
      <c r="C10" s="40"/>
      <c r="D10" s="41" t="s">
        <v>972</v>
      </c>
      <c r="E10" s="42"/>
      <c r="F10" s="43"/>
    </row>
    <row r="11" spans="1:16" ht="14.5" customHeight="1" x14ac:dyDescent="0.35">
      <c r="A11" s="37">
        <f>GETPIVOTDATA("Profit (₹)",$H$3)/GETPIVOTDATA("Sum of Total Sales (₹)",$D$3)*100</f>
        <v>21.276906458672723</v>
      </c>
      <c r="B11" s="37"/>
      <c r="C11" s="38"/>
      <c r="D11" s="6" t="s">
        <v>965</v>
      </c>
      <c r="E11" t="s">
        <v>967</v>
      </c>
      <c r="F11" s="7"/>
      <c r="H11" s="34" t="s">
        <v>973</v>
      </c>
      <c r="I11" s="44"/>
      <c r="J11" s="44"/>
      <c r="K11" s="45"/>
    </row>
    <row r="12" spans="1:16" x14ac:dyDescent="0.35">
      <c r="D12" s="8" t="s">
        <v>256</v>
      </c>
      <c r="E12">
        <v>1251620.2</v>
      </c>
      <c r="F12" s="7"/>
      <c r="H12" s="6" t="s">
        <v>965</v>
      </c>
      <c r="I12" t="s">
        <v>974</v>
      </c>
      <c r="J12" t="s">
        <v>967</v>
      </c>
      <c r="K12" s="7" t="s">
        <v>968</v>
      </c>
    </row>
    <row r="13" spans="1:16" x14ac:dyDescent="0.35">
      <c r="D13" s="8" t="s">
        <v>129</v>
      </c>
      <c r="E13">
        <v>1736714.55</v>
      </c>
      <c r="F13" s="7"/>
      <c r="H13" s="8" t="s">
        <v>37</v>
      </c>
      <c r="I13">
        <v>243</v>
      </c>
      <c r="J13">
        <v>8855323</v>
      </c>
      <c r="K13" s="7">
        <v>1927634.44</v>
      </c>
    </row>
    <row r="14" spans="1:16" x14ac:dyDescent="0.35">
      <c r="D14" s="8" t="s">
        <v>161</v>
      </c>
      <c r="E14">
        <v>833886.7</v>
      </c>
      <c r="F14" s="7"/>
      <c r="H14" s="8" t="s">
        <v>27</v>
      </c>
      <c r="I14">
        <v>257</v>
      </c>
      <c r="J14">
        <v>9832657.4999999981</v>
      </c>
      <c r="K14" s="7">
        <v>2048589.689999999</v>
      </c>
    </row>
    <row r="15" spans="1:16" x14ac:dyDescent="0.35">
      <c r="D15" s="8" t="s">
        <v>54</v>
      </c>
      <c r="E15">
        <v>800848.79999999993</v>
      </c>
      <c r="F15" s="7"/>
      <c r="H15" s="9" t="s">
        <v>966</v>
      </c>
      <c r="I15" s="10">
        <v>500</v>
      </c>
      <c r="J15" s="10">
        <v>18687980.499999996</v>
      </c>
      <c r="K15" s="11">
        <v>3976224.1300000008</v>
      </c>
    </row>
    <row r="16" spans="1:16" ht="15" thickBot="1" x14ac:dyDescent="0.4">
      <c r="D16" s="8" t="s">
        <v>134</v>
      </c>
      <c r="E16">
        <v>1862861.0999999999</v>
      </c>
      <c r="F16" s="7"/>
    </row>
    <row r="17" spans="4:11" x14ac:dyDescent="0.35">
      <c r="D17" s="8" t="s">
        <v>40</v>
      </c>
      <c r="E17">
        <v>2242573.0999999996</v>
      </c>
      <c r="F17" s="7"/>
      <c r="H17" s="28" t="s">
        <v>975</v>
      </c>
      <c r="I17" s="29"/>
      <c r="J17" s="29"/>
      <c r="K17" s="30"/>
    </row>
    <row r="18" spans="4:11" x14ac:dyDescent="0.35">
      <c r="D18" s="8" t="s">
        <v>46</v>
      </c>
      <c r="E18">
        <v>2232930.9500000002</v>
      </c>
      <c r="F18" s="7"/>
      <c r="H18" s="20" t="s">
        <v>965</v>
      </c>
      <c r="I18" t="s">
        <v>968</v>
      </c>
      <c r="J18" t="s">
        <v>967</v>
      </c>
      <c r="K18" s="21"/>
    </row>
    <row r="19" spans="4:11" x14ac:dyDescent="0.35">
      <c r="D19" s="8" t="s">
        <v>117</v>
      </c>
      <c r="E19">
        <v>838447.45</v>
      </c>
      <c r="F19" s="7"/>
      <c r="H19" s="22">
        <v>10</v>
      </c>
      <c r="I19">
        <v>623214.78999999969</v>
      </c>
      <c r="J19">
        <v>2868912.9000000004</v>
      </c>
      <c r="K19" s="21"/>
    </row>
    <row r="20" spans="4:11" x14ac:dyDescent="0.35">
      <c r="D20" s="8" t="s">
        <v>71</v>
      </c>
      <c r="E20">
        <v>2410469.75</v>
      </c>
      <c r="F20" s="7"/>
      <c r="H20" s="22">
        <v>15</v>
      </c>
      <c r="I20">
        <v>743221.36999999976</v>
      </c>
      <c r="J20">
        <v>3257029.1499999994</v>
      </c>
      <c r="K20" s="21"/>
    </row>
    <row r="21" spans="4:11" x14ac:dyDescent="0.35">
      <c r="D21" s="8" t="s">
        <v>78</v>
      </c>
      <c r="E21">
        <v>1546060.55</v>
      </c>
      <c r="F21" s="7"/>
      <c r="H21" s="22">
        <v>5</v>
      </c>
      <c r="I21">
        <v>770781.59999999974</v>
      </c>
      <c r="J21">
        <v>3906699.2500000005</v>
      </c>
      <c r="K21" s="21"/>
    </row>
    <row r="22" spans="4:11" x14ac:dyDescent="0.35">
      <c r="D22" s="8" t="s">
        <v>31</v>
      </c>
      <c r="E22">
        <v>1409135.3499999999</v>
      </c>
      <c r="F22" s="7"/>
      <c r="H22" s="22">
        <v>20</v>
      </c>
      <c r="I22">
        <v>784706.12000000011</v>
      </c>
      <c r="J22">
        <v>3527731.1999999997</v>
      </c>
      <c r="K22" s="21"/>
    </row>
    <row r="23" spans="4:11" x14ac:dyDescent="0.35">
      <c r="D23" s="8" t="s">
        <v>19</v>
      </c>
      <c r="E23">
        <v>1522432</v>
      </c>
      <c r="F23" s="7"/>
      <c r="H23" s="22">
        <v>0</v>
      </c>
      <c r="I23">
        <v>1054300.2500000007</v>
      </c>
      <c r="J23">
        <v>5127608</v>
      </c>
      <c r="K23" s="21"/>
    </row>
    <row r="24" spans="4:11" ht="15" thickBot="1" x14ac:dyDescent="0.4">
      <c r="D24" s="9" t="s">
        <v>966</v>
      </c>
      <c r="E24" s="10">
        <v>18687980.5</v>
      </c>
      <c r="F24" s="11"/>
      <c r="H24" s="23" t="s">
        <v>966</v>
      </c>
      <c r="I24" s="24">
        <v>3976224.13</v>
      </c>
      <c r="J24" s="24">
        <v>18687980.5</v>
      </c>
      <c r="K24" s="25"/>
    </row>
    <row r="25" spans="4:11" ht="15" thickBot="1" x14ac:dyDescent="0.4"/>
    <row r="26" spans="4:11" x14ac:dyDescent="0.35">
      <c r="D26" s="31" t="s">
        <v>979</v>
      </c>
      <c r="E26" s="32"/>
      <c r="F26" s="32"/>
      <c r="G26" s="33"/>
    </row>
    <row r="27" spans="4:11" x14ac:dyDescent="0.35">
      <c r="D27" s="20" t="s">
        <v>965</v>
      </c>
      <c r="E27" t="s">
        <v>967</v>
      </c>
      <c r="F27" t="s">
        <v>974</v>
      </c>
      <c r="G27" s="21" t="s">
        <v>968</v>
      </c>
    </row>
    <row r="28" spans="4:11" x14ac:dyDescent="0.35">
      <c r="D28" s="22" t="s">
        <v>22</v>
      </c>
      <c r="E28">
        <v>8847705</v>
      </c>
      <c r="F28">
        <v>191</v>
      </c>
      <c r="G28" s="21">
        <v>1885567.1600000001</v>
      </c>
    </row>
    <row r="29" spans="4:11" x14ac:dyDescent="0.35">
      <c r="D29" s="22" t="s">
        <v>33</v>
      </c>
      <c r="E29">
        <v>3885585.1</v>
      </c>
      <c r="F29">
        <v>148</v>
      </c>
      <c r="G29" s="21">
        <v>762545.37</v>
      </c>
    </row>
    <row r="30" spans="4:11" x14ac:dyDescent="0.35">
      <c r="D30" s="22" t="s">
        <v>56</v>
      </c>
      <c r="E30">
        <v>5954690.4000000022</v>
      </c>
      <c r="F30">
        <v>161</v>
      </c>
      <c r="G30" s="21">
        <v>1328111.5999999999</v>
      </c>
    </row>
    <row r="31" spans="4:11" ht="15" thickBot="1" x14ac:dyDescent="0.4">
      <c r="D31" s="23" t="s">
        <v>966</v>
      </c>
      <c r="E31" s="24">
        <v>18687980.499999993</v>
      </c>
      <c r="F31" s="24">
        <v>500</v>
      </c>
      <c r="G31" s="25">
        <v>3976224.1299999952</v>
      </c>
    </row>
  </sheetData>
  <mergeCells count="8">
    <mergeCell ref="H17:K17"/>
    <mergeCell ref="L2:P2"/>
    <mergeCell ref="D26:G26"/>
    <mergeCell ref="D2:F2"/>
    <mergeCell ref="A11:C11"/>
    <mergeCell ref="A10:C10"/>
    <mergeCell ref="D10:F10"/>
    <mergeCell ref="H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4BEB-49A7-43D1-9CCF-7D0AA5721BD6}">
  <dimension ref="A1:T4"/>
  <sheetViews>
    <sheetView showGridLines="0" tabSelected="1" topLeftCell="A12" workbookViewId="0">
      <selection sqref="A1:T2"/>
    </sheetView>
  </sheetViews>
  <sheetFormatPr defaultRowHeight="14.5" x14ac:dyDescent="0.35"/>
  <sheetData>
    <row r="1" spans="1:20" x14ac:dyDescent="0.35">
      <c r="A1" s="26" t="s">
        <v>981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x14ac:dyDescent="0.35">
      <c r="A3" s="27" t="s">
        <v>980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</sheetData>
  <mergeCells count="2">
    <mergeCell ref="A1:T2"/>
    <mergeCell ref="A3:T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89CE-1C63-4045-A106-F13C61A6F2D5}">
  <dimension ref="A1"/>
  <sheetViews>
    <sheetView zoomScaleNormal="100" workbookViewId="0">
      <selection activeCell="G2" sqref="G2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Analysis</vt:lpstr>
      <vt:lpstr>Dashboard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Hii Buddy! Good To See You</cp:lastModifiedBy>
  <dcterms:created xsi:type="dcterms:W3CDTF">2026-06-04T20:04:45Z</dcterms:created>
  <dcterms:modified xsi:type="dcterms:W3CDTF">2026-06-07T06:51:22Z</dcterms:modified>
</cp:coreProperties>
</file>